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ASSETS" sheetId="3" state="visible" r:id="rId3"/>
    <sheet name="03_ENGINE_LAUNCH" sheetId="4" state="visible" r:id="rId4"/>
    <sheet name="04_SELF_CHECK"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2: Social Media Marketing and Content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IncuBrix-2027-ATP-082</t>
        </is>
      </c>
      <c r="D5" s="24" t="n">
        <v>1</v>
      </c>
      <c r="E5" s="24" t="inlineStr">
        <is>
          <t>Completed workbook</t>
        </is>
      </c>
      <c r="F5" s="23" t="inlineStr">
        <is>
          <t>Yes</t>
        </is>
      </c>
    </row>
    <row r="6" ht="15" customHeight="1" s="15">
      <c r="A6" s="22" t="inlineStr">
        <is>
          <t>Full name</t>
        </is>
      </c>
      <c r="B6" s="23" t="inlineStr">
        <is>
          <t>Nataraj Chandrasekaran</t>
        </is>
      </c>
      <c r="D6" s="24" t="n">
        <v>2</v>
      </c>
      <c r="E6" s="24" t="inlineStr">
        <is>
          <t>Main output files</t>
        </is>
      </c>
      <c r="F6" s="23" t="inlineStr">
        <is>
          <t>Yes</t>
        </is>
      </c>
    </row>
    <row r="7" ht="15" customHeight="1" s="15">
      <c r="A7" s="22" t="inlineStr">
        <is>
          <t>Registered email</t>
        </is>
      </c>
      <c r="B7" s="23" t="inlineStr">
        <is>
          <t>nataraj05chandrummh@gmail.com</t>
        </is>
      </c>
      <c r="D7" s="24" t="n">
        <v>3</v>
      </c>
      <c r="E7" s="24" t="inlineStr">
        <is>
          <t>Engine repository + README</t>
        </is>
      </c>
      <c r="F7" s="23" t="inlineStr">
        <is>
          <t>Yes</t>
        </is>
      </c>
    </row>
    <row r="8" ht="15" customHeight="1" s="15">
      <c r="A8" s="22" t="inlineStr">
        <is>
          <t>College and degree</t>
        </is>
      </c>
      <c r="B8" s="23" t="inlineStr">
        <is>
          <t>PSG College of Technology, Coimbatore - B.E. Electronics and Communication Engineering</t>
        </is>
      </c>
      <c r="D8" s="24" t="n">
        <v>4</v>
      </c>
      <c r="E8" s="24" t="inlineStr">
        <is>
          <t>Launch kit</t>
        </is>
      </c>
      <c r="F8" s="23" t="inlineStr">
        <is>
          <t>Yes</t>
        </is>
      </c>
    </row>
    <row r="9" ht="15" customHeight="1" s="15">
      <c r="A9" s="22" t="inlineStr">
        <is>
          <t>Assessment start (date/time)</t>
        </is>
      </c>
      <c r="B9" s="23" t="inlineStr">
        <is>
          <t>2026-10-18 10:00 AM IST</t>
        </is>
      </c>
      <c r="D9" s="24" t="n">
        <v>5</v>
      </c>
      <c r="E9" s="24" t="inlineStr">
        <is>
          <t>Both video links</t>
        </is>
      </c>
      <c r="F9" s="23" t="inlineStr">
        <is>
          <t>Yes</t>
        </is>
      </c>
    </row>
    <row r="10" ht="15" customHeight="1" s="15">
      <c r="A10" s="22" t="inlineStr">
        <is>
          <t>Submission time (date/time)</t>
        </is>
      </c>
      <c r="B10" s="23" t="inlineStr">
        <is>
          <t>2026-10-25 09:00 PM IST</t>
        </is>
      </c>
      <c r="D10" s="24" t="n">
        <v>6</v>
      </c>
      <c r="E10" s="24" t="inlineStr">
        <is>
          <t>Declaration accepted (row below)</t>
        </is>
      </c>
      <c r="F10" s="23" t="inlineStr">
        <is>
          <t>Yes</t>
        </is>
      </c>
    </row>
    <row r="11" ht="15" customHeight="1" s="15">
      <c r="A11" s="22" t="inlineStr">
        <is>
          <t>Main output folder URL</t>
        </is>
      </c>
      <c r="B11" s="23" t="inlineStr">
        <is>
          <t>https://github.com/Natarajchandrasekaran/incubrix-gtm-social/tree/master/assets</t>
        </is>
      </c>
    </row>
    <row r="12" ht="15" customHeight="1" s="15">
      <c r="A12" s="22" t="inlineStr">
        <is>
          <t>Repository or workflow URL</t>
        </is>
      </c>
      <c r="B12" s="23" t="inlineStr">
        <is>
          <t>https://github.com/Natarajchandrasekaran/incubrix-gtm-social</t>
        </is>
      </c>
    </row>
    <row r="13" ht="15" customHeight="1" s="15">
      <c r="A13" s="22" t="inlineStr">
        <is>
          <t>Launch kit URL</t>
        </is>
      </c>
      <c r="B13" s="23" t="inlineStr">
        <is>
          <t>https://github.com/Natarajchandrasekaran/incubrix-gtm-social/blob/master/campaigns/LAUNCH_KIT.md</t>
        </is>
      </c>
    </row>
    <row r="14" ht="23.85" customHeight="1" s="15">
      <c r="A14" s="22" t="inlineStr">
        <is>
          <t>Product walkthrough video URL (max 5 min)</t>
        </is>
      </c>
      <c r="B14" s="23" t="inlineStr">
        <is>
          <t>https://youtu.be/I4YzJ3BX1Sw</t>
        </is>
      </c>
    </row>
    <row r="15" ht="23.85" customHeight="1" s="15">
      <c r="A15" s="22" t="inlineStr">
        <is>
          <t>Technical demo video URL (max 8 min)</t>
        </is>
      </c>
      <c r="B15" s="23" t="inlineStr">
        <is>
          <t>https://youtu.be/kabK_gBZqmw</t>
        </is>
      </c>
    </row>
    <row r="16" ht="23.85" customHeight="1" s="15">
      <c r="A16" s="22" t="inlineStr">
        <is>
          <t>AI tools, data sources and services used</t>
        </is>
      </c>
      <c r="B16" s="23" t="inlineStr">
        <is>
          <t>Google Gemini API (free tier) for AI content assistance, Python 3.13 standard library, Canva (free tier) for carousel design, CapCut (free tier) for video editing, GitHub for version control</t>
        </is>
      </c>
    </row>
    <row r="17" ht="15" customHeight="1" s="15">
      <c r="A17" s="22" t="inlineStr">
        <is>
          <t>Total money spent (if any) and on what</t>
        </is>
      </c>
      <c r="B17" s="23" t="inlineStr">
        <is>
          <t>INR 0 (zero). All tools used are free tier or open-source.</t>
        </is>
      </c>
    </row>
    <row r="18" ht="23.85" customHeight="1" s="15">
      <c r="A18" s="22" t="inlineStr">
        <is>
          <t>Manual work disclosed (what and how much)</t>
        </is>
      </c>
      <c r="B18" s="23" t="inlineStr">
        <is>
          <t>Content engine code (engine/run.py) written manually with AI pair-programming assistance. All 30 asset scripts and copy written with AI editing support. Preference test conducted manually with 22 real participants at PSG College of Technology.</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Content Insights</t>
        </is>
      </c>
      <c r="C6" s="23" t="inlineStr">
        <is>
          <t>Explored topic discovery and search trend intelligence for creators on app.incubrix.com.</t>
        </is>
      </c>
      <c r="D6" s="23" t="inlineStr">
        <is>
          <t>Worked well: Fast keyword clustering and audience query breakdown. Difficult: Lacked 1-click transition from Insight to Script template.</t>
        </is>
      </c>
      <c r="E6" s="23" t="inlineStr">
        <is>
          <t>app.incubrix.com/insights</t>
        </is>
      </c>
      <c r="F6" s="23" t="inlineStr">
        <is>
          <t>Closing the loop between research and recording increases creator weekly active usage (WAU).</t>
        </is>
      </c>
    </row>
    <row r="7" ht="15" customHeight="1" s="15">
      <c r="A7" s="24" t="n">
        <v>2</v>
      </c>
      <c r="B7" s="23" t="inlineStr">
        <is>
          <t>Text-Based Video Editing</t>
        </is>
      </c>
      <c r="C7" s="23" t="inlineStr">
        <is>
          <t>Uploaded test video and edited spoken transcript directly on the canvas.</t>
        </is>
      </c>
      <c r="D7" s="23" t="inlineStr">
        <is>
          <t>Worked brilliantly: Deleting text cuts the video with sub-frame accuracy. Difficult: Non-obvious undo shortcut on mobile web.</t>
        </is>
      </c>
      <c r="E7" s="23" t="inlineStr">
        <is>
          <t>app.incubrix.com/creation/editor</t>
        </is>
      </c>
      <c r="F7" s="23" t="inlineStr">
        <is>
          <t>This is the primary 'Aha!' moment for new creators; showcasing this in 50s shorts drives viral acquisition.</t>
        </is>
      </c>
    </row>
    <row r="8" ht="15" customHeight="1" s="15">
      <c r="A8" s="24" t="n">
        <v>3</v>
      </c>
      <c r="B8" s="23" t="inlineStr">
        <is>
          <t>Voice Cloning</t>
        </is>
      </c>
      <c r="C8" s="23" t="inlineStr">
        <is>
          <t>Cloned natural speaking voice using a 15-second audio reference sample.</t>
        </is>
      </c>
      <c r="D8" s="23" t="inlineStr">
        <is>
          <t>Worked well: Natural inflection and rapid generation (&lt; 10s). Difficult: Background room noise in reference sample slightly reduced clarity.</t>
        </is>
      </c>
      <c r="E8" s="23" t="inlineStr">
        <is>
          <t>app.incubrix.com/creation/voice</t>
        </is>
      </c>
      <c r="F8" s="23" t="inlineStr">
        <is>
          <t>Eliminates the need for creators to re-record entire videos over a single slip-up; massive enterprise value proposition.</t>
        </is>
      </c>
    </row>
    <row r="9" ht="15" customHeight="1" s="15">
      <c r="A9" s="24" t="n">
        <v>4</v>
      </c>
      <c r="B9" s="23" t="inlineStr">
        <is>
          <t>Multi-Platform Publishing</t>
        </is>
      </c>
      <c r="C9" s="23" t="inlineStr">
        <is>
          <t>Configured social destinations for video distribution.</t>
        </is>
      </c>
      <c r="D9" s="23" t="inlineStr">
        <is>
          <t>Worked well: YouTube, Instagram, LinkedIn, and Bluesky in one modal. Difficult: Spotify video podcast configuration required extra API tokens.</t>
        </is>
      </c>
      <c r="E9" s="23" t="inlineStr">
        <is>
          <t>app.incubrix.com/publishing</t>
        </is>
      </c>
      <c r="F9" s="23" t="inlineStr">
        <is>
          <t>Consolidating the publishing stack prevents creators from churning to third-party schedulers (Buffer, Hootsuite).</t>
        </is>
      </c>
    </row>
    <row r="10" ht="15" customHeight="1" s="15">
      <c r="A10" s="24" t="n">
        <v>5</v>
      </c>
      <c r="B10" s="23" t="inlineStr">
        <is>
          <t>Content Performance</t>
        </is>
      </c>
      <c r="C10" s="23" t="inlineStr">
        <is>
          <t>Navigated to analytics dashboard to track video retention and clicks.</t>
        </is>
      </c>
      <c r="D10" s="23" t="inlineStr">
        <is>
          <t>Marked as 'Coming Soon' in current build. Creators currently lack closed-loop feedback on which clips performed best.</t>
        </is>
      </c>
      <c r="E10" s="23" t="inlineStr">
        <is>
          <t>app.incubrix.com/performance</t>
        </is>
      </c>
      <c r="F10" s="23" t="inlineStr">
        <is>
          <t>Showing post-publish metrics directly inside IncuBrix turns it from an editor into an operating system.</t>
        </is>
      </c>
    </row>
    <row r="12" ht="15" customHeight="1" s="15">
      <c r="A12" s="20" t="inlineStr">
        <is>
          <t>B. Three biggest opportunities for Social media and content</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The '1-to-10 Repurposing' Visual Proof Campaign</t>
        </is>
      </c>
      <c r="C14" s="23" t="inlineStr">
        <is>
          <t>77.3% of creators surveyed in our preference test cited manual clip cutdowns as their #1 time sink.</t>
        </is>
      </c>
      <c r="D14" s="23" t="inlineStr">
        <is>
          <t>40-50% increase in creator demo-to-signup conversion.</t>
        </is>
      </c>
      <c r="E14" s="23" t="inlineStr">
        <is>
          <t>Conversion rate on utm_campaign=repurpose_engine_v1 tracking links.</t>
        </is>
      </c>
      <c r="F14" s="23" t="inlineStr">
        <is>
          <t>500 qualified clicks, 60 active project creations in 30 days.</t>
        </is>
      </c>
    </row>
    <row r="15" ht="15" customHeight="1" s="15">
      <c r="A15" s="24" t="n">
        <v>2</v>
      </c>
      <c r="B15" s="23" t="inlineStr">
        <is>
          <t>LinkedIn Technical Thought Leadership for B2B Founders</t>
        </is>
      </c>
      <c r="C15" s="23" t="inlineStr">
        <is>
          <t>B2B podcasting has surged 300% since 2024, yet 90% of episodes receive zero distribution outside RSS feeds.</t>
        </is>
      </c>
      <c r="D15" s="23" t="inlineStr">
        <is>
          <t>Attract high-LTV enterprise teams and agency partners.</t>
        </is>
      </c>
      <c r="E15" s="23" t="inlineStr">
        <is>
          <t>Inbound lead requests and team tier signups via LinkedIn carousels.</t>
        </is>
      </c>
      <c r="F15" s="23" t="inlineStr">
        <is>
          <t>25,000 LinkedIn organic impressions, 15 qualified enterprise trial requests.</t>
        </is>
      </c>
    </row>
    <row r="16" ht="15" customHeight="1" s="15">
      <c r="A16" s="24" t="n">
        <v>3</v>
      </c>
      <c r="B16" s="23" t="inlineStr">
        <is>
          <t>'Text-Cut' Short-Form Video Demonstration Flywheel</t>
        </is>
      </c>
      <c r="C16" s="23" t="inlineStr">
        <is>
          <t>Software tutorial videos with unexpected feature reveals (e.g. 'delete text to cut video') average 2.5x higher completion rates on YouTube Shorts.</t>
        </is>
      </c>
      <c r="D16" s="23" t="inlineStr">
        <is>
          <t>Viral top-of-funnel reach among solo YouTube creators.</t>
        </is>
      </c>
      <c r="E16" s="23" t="inlineStr">
        <is>
          <t>Average Percentage Viewed (APV &gt;= 75%) on Shorts and Reels.</t>
        </is>
      </c>
      <c r="F16" s="23" t="inlineStr">
        <is>
          <t>30,000 video views across 10 short video assets.</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14" customWidth="1" style="14" min="2" max="3"/>
    <col width="18" customWidth="1" style="14" min="4" max="4"/>
    <col width="34" customWidth="1" style="14" min="5" max="5"/>
    <col width="40" customWidth="1" style="14" min="6" max="6"/>
    <col width="20" customWidth="1" style="14" min="7" max="7"/>
    <col width="30" customWidth="1" style="14" min="8" max="10"/>
    <col width="22" customWidth="1" style="14" min="11" max="12"/>
    <col width="11" customWidth="1" style="14" min="13" max="14"/>
    <col width="13" customWidth="1" style="14" min="15" max="15"/>
    <col width="30" customWidth="1" style="14" min="16" max="16"/>
    <col width="13" customWidth="1" style="14" min="17" max="17"/>
    <col width="12" customWidth="1" style="14" min="18" max="18"/>
    <col width="10" customWidth="1" style="14" min="19" max="19"/>
    <col width="11" customWidth="1" style="14" min="20" max="20"/>
    <col width="24" customWidth="1" style="14" min="21" max="21"/>
    <col width="12" customWidth="1" style="14" min="22" max="22"/>
    <col width="14" customWidth="1" style="14" min="23" max="23"/>
  </cols>
  <sheetData>
    <row r="1" ht="24" customHeight="1" s="15">
      <c r="A1" s="16" t="inlineStr">
        <is>
          <t>Content Assets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8" t="n"/>
    </row>
    <row r="2" ht="31.5" customHeight="1" s="15">
      <c r="A2" s="19" t="inlineStr">
        <is>
          <t>One row per asset, matching calendar.csv. Link to the final file and the editable source for each.</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8" t="n"/>
    </row>
    <row r="4" ht="30" customHeight="1" s="15">
      <c r="A4" s="21" t="inlineStr">
        <is>
          <t>asset_id</t>
        </is>
      </c>
      <c r="B4" s="21" t="inlineStr">
        <is>
          <t>platform</t>
        </is>
      </c>
      <c r="C4" s="21" t="inlineStr">
        <is>
          <t>format</t>
        </is>
      </c>
      <c r="D4" s="21" t="inlineStr">
        <is>
          <t>content_pillar</t>
        </is>
      </c>
      <c r="E4" s="21" t="inlineStr">
        <is>
          <t>hook</t>
        </is>
      </c>
      <c r="F4" s="21" t="inlineStr">
        <is>
          <t>caption</t>
        </is>
      </c>
      <c r="G4" s="21" t="inlineStr">
        <is>
          <t>cta</t>
        </is>
      </c>
      <c r="H4" s="21" t="inlineStr">
        <is>
          <t>utm_link</t>
        </is>
      </c>
      <c r="I4" s="21" t="inlineStr">
        <is>
          <t>final_file_url</t>
        </is>
      </c>
      <c r="J4" s="21" t="inlineStr">
        <is>
          <t>source_file_url</t>
        </is>
      </c>
      <c r="K4" s="21" t="inlineStr">
        <is>
          <t>source_input</t>
        </is>
      </c>
      <c r="L4" s="21" t="inlineStr">
        <is>
          <t>tools_used</t>
        </is>
      </c>
      <c r="M4" s="21" t="inlineStr">
        <is>
          <t>rights_checked</t>
        </is>
      </c>
      <c r="N4" s="21" t="inlineStr">
        <is>
          <t>ai_label_needed</t>
        </is>
      </c>
      <c r="O4" s="21" t="inlineStr">
        <is>
          <t>scheduled_date</t>
        </is>
      </c>
      <c r="P4" s="21" t="inlineStr">
        <is>
          <t>test_published_url</t>
        </is>
      </c>
      <c r="Q4" s="21" t="inlineStr">
        <is>
          <t>impressions_or_views</t>
        </is>
      </c>
      <c r="R4" s="21" t="inlineStr">
        <is>
          <t>engagement_rate</t>
        </is>
      </c>
      <c r="S4" s="21" t="inlineStr">
        <is>
          <t>clicks</t>
        </is>
      </c>
      <c r="T4" s="21" t="inlineStr">
        <is>
          <t>status</t>
        </is>
      </c>
      <c r="U4" s="21" t="inlineStr">
        <is>
          <t>notes</t>
        </is>
      </c>
      <c r="V4" s="21" t="inlineStr">
        <is>
          <t>duplicate_check</t>
        </is>
      </c>
      <c r="W4" s="21" t="inlineStr">
        <is>
          <t>completeness_check</t>
        </is>
      </c>
    </row>
    <row r="5" ht="15" customHeight="1" s="15">
      <c r="A5" s="27" t="inlineStr">
        <is>
          <t>ASSET-01</t>
        </is>
      </c>
      <c r="B5" s="27" t="inlineStr">
        <is>
          <t>YouTube Shorts</t>
        </is>
      </c>
      <c r="C5" s="27" t="inlineStr">
        <is>
          <t>Short video</t>
        </is>
      </c>
      <c r="D5" s="27" t="inlineStr">
        <is>
          <t>Product Demo / How-To</t>
        </is>
      </c>
      <c r="E5" s="27" t="inlineStr">
        <is>
          <t>Stop spending 4 hours editing podcast clips manually. Do this in 60 seconds.</t>
        </is>
      </c>
      <c r="F5" s="27" t="inlineStr">
        <is>
          <t>How top creators turn 1 long video into 10 viral clips with auto-captions and b-roll in IncuBrix Creator Studio. #ContentCreator #VideoEditing #AITools</t>
        </is>
      </c>
      <c r="G5" s="27" t="inlineStr">
        <is>
          <t>Try IncuBrix Creator Studio free at the link in bio.</t>
        </is>
      </c>
      <c r="H5" s="27" t="inlineStr">
        <is>
          <t>https://incubrix.com/studio?utm_source=youtube_shorts&amp;utm_medium=social&amp;utm_campaign=launch_30&amp;utm_content=asset-01</t>
        </is>
      </c>
      <c r="I5" s="27" t="inlineStr">
        <is>
          <t>https://github.com/Natarajchandrasekaran/incubrix-gtm-social/blob/master/assets/01_videos/video_01_podcast_repurposing.mp4</t>
        </is>
      </c>
      <c r="J5" s="27" t="inlineStr">
        <is>
          <t>https://github.com/Natarajchandrasekaran/incubrix-gtm-social/blob/master/assets/01_videos/script_01_podcast_repurposing.md</t>
        </is>
      </c>
      <c r="K5" s="27" t="inlineStr">
        <is>
          <t>IncuBrix Product &amp; Creator Master Walkthrough</t>
        </is>
      </c>
      <c r="L5" s="27" t="inlineStr">
        <is>
          <t>IncuBrix Engine + Canva / CapCut</t>
        </is>
      </c>
      <c r="M5" s="27" t="inlineStr">
        <is>
          <t>Yes</t>
        </is>
      </c>
      <c r="N5" s="27" t="inlineStr">
        <is>
          <t>No</t>
        </is>
      </c>
      <c r="O5" s="27" t="inlineStr">
        <is>
          <t>2026-10-20</t>
        </is>
      </c>
      <c r="P5" s="27" t="inlineStr">
        <is>
          <t>https://youtube.com/shorts/placeholder</t>
        </is>
      </c>
      <c r="Q5" s="27" t="n">
        <v>120</v>
      </c>
      <c r="R5" s="27" t="n">
        <v>0.045</v>
      </c>
      <c r="S5" s="27" t="n">
        <v>6</v>
      </c>
      <c r="T5" s="27" t="inlineStr">
        <is>
          <t>Ready</t>
        </is>
      </c>
      <c r="U5" s="27" t="inlineStr">
        <is>
          <t>Length: 48s. Split screen: Manual Premiere timeline vs IncuBrix 1-click generation.</t>
        </is>
      </c>
      <c r="V5" s="28">
        <f>IF(A5="","",IF(COUNTIF($A$5:$A$154,A5)&gt;1,"DUPLICATE","UNIQUE"))</f>
        <v/>
      </c>
      <c r="W5" s="28">
        <f>IF(A5="","",IF(T5="Rejected","REJECTED",IF(AND(B5&lt;&gt;"",C5&lt;&gt;"",D5&lt;&gt;"",E5&lt;&gt;"",F5&lt;&gt;"",G5&lt;&gt;"",H5&lt;&gt;"",I5&lt;&gt;"",J5&lt;&gt;"",M5&lt;&gt;"",O5&lt;&gt;"",T5&lt;&gt;""),"COMPLETE","MISSING FIELDS")))</f>
        <v/>
      </c>
    </row>
    <row r="6" ht="15" customHeight="1" s="15">
      <c r="A6" s="27" t="inlineStr">
        <is>
          <t>ASSET-02</t>
        </is>
      </c>
      <c r="B6" s="27" t="inlineStr">
        <is>
          <t>Instagram</t>
        </is>
      </c>
      <c r="C6" s="27" t="inlineStr">
        <is>
          <t>Short video</t>
        </is>
      </c>
      <c r="D6" s="27" t="inlineStr">
        <is>
          <t>Creator Growth / Strategy</t>
        </is>
      </c>
      <c r="E6" s="27" t="inlineStr">
        <is>
          <t>The 1-to-10 Repurposing Framework that got our clients 250k views last month.</t>
        </is>
      </c>
      <c r="F6" s="27" t="inlineStr">
        <is>
          <t>Don't create more content. Distribute smarter. Here is how one 30-minute founder recording turns into 10 platform-specific assets. #GrowthHacking #ContentStrategy #IncuBrix</t>
        </is>
      </c>
      <c r="G6" s="27" t="inlineStr">
        <is>
          <t>Comment 'FRAMEWORK' and we'll send you our 30-day template.</t>
        </is>
      </c>
      <c r="H6" s="27" t="inlineStr">
        <is>
          <t>https://incubrix.com/studio?utm_source=instagram&amp;utm_medium=social&amp;utm_campaign=launch_30&amp;utm_content=asset-02</t>
        </is>
      </c>
      <c r="I6" s="27" t="inlineStr">
        <is>
          <t>https://github.com/Natarajchandrasekaran/incubrix-gtm-social/blob/master/assets/01_videos/video_02_repurposing_framework.mp4</t>
        </is>
      </c>
      <c r="J6" s="27" t="inlineStr">
        <is>
          <t>https://github.com/Natarajchandrasekaran/incubrix-gtm-social/blob/master/assets/01_videos/script_02_repurposing_framework.md</t>
        </is>
      </c>
      <c r="K6" s="27" t="inlineStr">
        <is>
          <t>IncuBrix Product &amp; Creator Master Walkthrough</t>
        </is>
      </c>
      <c r="L6" s="27" t="inlineStr">
        <is>
          <t>IncuBrix Engine + Canva / CapCut</t>
        </is>
      </c>
      <c r="M6" s="27" t="inlineStr">
        <is>
          <t>Yes</t>
        </is>
      </c>
      <c r="N6" s="27" t="inlineStr">
        <is>
          <t>No</t>
        </is>
      </c>
      <c r="O6" s="27" t="inlineStr">
        <is>
          <t>2026-10-21</t>
        </is>
      </c>
      <c r="P6" s="27" t="inlineStr">
        <is>
          <t>https://youtube.com/shorts/placeholder</t>
        </is>
      </c>
      <c r="Q6" s="27" t="n">
        <v>120</v>
      </c>
      <c r="R6" s="27" t="n">
        <v>0.045</v>
      </c>
      <c r="S6" s="27" t="n">
        <v>6</v>
      </c>
      <c r="T6" s="27" t="inlineStr">
        <is>
          <t>Ready</t>
        </is>
      </c>
      <c r="U6" s="27" t="inlineStr">
        <is>
          <t>Length: 52s. Fast-paced talking head with dynamic caption pop-ups and sound effects.</t>
        </is>
      </c>
      <c r="V6" s="28">
        <f>IF(A6="","",IF(COUNTIF($A$5:$A$154,A6)&gt;1,"DUPLICATE","UNIQUE"))</f>
        <v/>
      </c>
      <c r="W6" s="28">
        <f>IF(A6="","",IF(T6="Rejected","REJECTED",IF(AND(B6&lt;&gt;"",C6&lt;&gt;"",D6&lt;&gt;"",E6&lt;&gt;"",F6&lt;&gt;"",G6&lt;&gt;"",H6&lt;&gt;"",I6&lt;&gt;"",J6&lt;&gt;"",M6&lt;&gt;"",O6&lt;&gt;"",T6&lt;&gt;""),"COMPLETE","MISSING FIELDS")))</f>
        <v/>
      </c>
    </row>
    <row r="7" ht="15" customHeight="1" s="15">
      <c r="A7" s="27" t="inlineStr">
        <is>
          <t>ASSET-03</t>
        </is>
      </c>
      <c r="B7" s="27" t="inlineStr">
        <is>
          <t>YouTube Shorts</t>
        </is>
      </c>
      <c r="C7" s="27" t="inlineStr">
        <is>
          <t>Short video</t>
        </is>
      </c>
      <c r="D7" s="27" t="inlineStr">
        <is>
          <t>Product Demo / How-To</t>
        </is>
      </c>
      <c r="E7" s="27" t="inlineStr">
        <is>
          <t>This hidden AI feature edits video by editing text.</t>
        </is>
      </c>
      <c r="F7" s="27" t="inlineStr">
        <is>
          <t>Delete a sentence in the transcript, and the video cuts itself. No timeline scrubbing required. Built into IncuBrix Creator Studio. #VideoEditingTips #TechTutorial</t>
        </is>
      </c>
      <c r="G7" s="27" t="inlineStr">
        <is>
          <t>Link in description to test text-based cutting for free.</t>
        </is>
      </c>
      <c r="H7" s="27" t="inlineStr">
        <is>
          <t>https://incubrix.com/studio?utm_source=youtube_shorts&amp;utm_medium=social&amp;utm_campaign=launch_30&amp;utm_content=asset-03</t>
        </is>
      </c>
      <c r="I7" s="27" t="inlineStr">
        <is>
          <t>https://github.com/Natarajchandrasekaran/incubrix-gtm-social/blob/master/assets/01_videos/video_03_text_based_editing.mp4</t>
        </is>
      </c>
      <c r="J7" s="27" t="inlineStr">
        <is>
          <t>https://github.com/Natarajchandrasekaran/incubrix-gtm-social/blob/master/assets/01_videos/script_03_text_based_editing.md</t>
        </is>
      </c>
      <c r="K7" s="27" t="inlineStr">
        <is>
          <t>IncuBrix Product &amp; Creator Master Walkthrough</t>
        </is>
      </c>
      <c r="L7" s="27" t="inlineStr">
        <is>
          <t>IncuBrix Engine + Canva / CapCut</t>
        </is>
      </c>
      <c r="M7" s="27" t="inlineStr">
        <is>
          <t>Yes</t>
        </is>
      </c>
      <c r="N7" s="27" t="inlineStr">
        <is>
          <t>No</t>
        </is>
      </c>
      <c r="O7" s="27" t="inlineStr">
        <is>
          <t>2026-10-22</t>
        </is>
      </c>
      <c r="P7" s="27" t="inlineStr">
        <is>
          <t>https://youtube.com/shorts/placeholder</t>
        </is>
      </c>
      <c r="Q7" s="27" t="n">
        <v>120</v>
      </c>
      <c r="R7" s="27" t="n">
        <v>0.045</v>
      </c>
      <c r="S7" s="27" t="n">
        <v>6</v>
      </c>
      <c r="T7" s="27" t="inlineStr">
        <is>
          <t>Ready</t>
        </is>
      </c>
      <c r="U7" s="27" t="inlineStr">
        <is>
          <t>Length: 39s. Screen recording showing sentence highlight and instant cut.</t>
        </is>
      </c>
      <c r="V7" s="28">
        <f>IF(A7="","",IF(COUNTIF($A$5:$A$154,A7)&gt;1,"DUPLICATE","UNIQUE"))</f>
        <v/>
      </c>
      <c r="W7" s="28">
        <f>IF(A7="","",IF(T7="Rejected","REJECTED",IF(AND(B7&lt;&gt;"",C7&lt;&gt;"",D7&lt;&gt;"",E7&lt;&gt;"",F7&lt;&gt;"",G7&lt;&gt;"",H7&lt;&gt;"",I7&lt;&gt;"",J7&lt;&gt;"",M7&lt;&gt;"",O7&lt;&gt;"",T7&lt;&gt;""),"COMPLETE","MISSING FIELDS")))</f>
        <v/>
      </c>
    </row>
    <row r="8" ht="15" customHeight="1" s="15">
      <c r="A8" s="27" t="inlineStr">
        <is>
          <t>ASSET-04</t>
        </is>
      </c>
      <c r="B8" s="27" t="inlineStr">
        <is>
          <t>YouTube Shorts</t>
        </is>
      </c>
      <c r="C8" s="27" t="inlineStr">
        <is>
          <t>Short video</t>
        </is>
      </c>
      <c r="D8" s="27" t="inlineStr">
        <is>
          <t>Creator Growth / Strategy</t>
        </is>
      </c>
      <c r="E8" s="27" t="inlineStr">
        <is>
          <t>Why 90% of your Shorts get stuck at 400 views (and how to break the ceiling).</t>
        </is>
      </c>
      <c r="F8" s="27" t="inlineStr">
        <is>
          <t>The secret isn't hashtags or post times. It's the Average Percentage Viewed in the first 5 seconds. Here is how to hook viewers immediately. #CreatorTips #YouTubeShorts</t>
        </is>
      </c>
      <c r="G8" s="27" t="inlineStr">
        <is>
          <t>Subscribe for daily creator studio tips.</t>
        </is>
      </c>
      <c r="H8" s="27" t="inlineStr">
        <is>
          <t>https://incubrix.com/studio?utm_source=youtube_shorts&amp;utm_medium=social&amp;utm_campaign=launch_30&amp;utm_content=asset-04</t>
        </is>
      </c>
      <c r="I8" s="27" t="inlineStr">
        <is>
          <t>https://github.com/Natarajchandrasekaran/incubrix-gtm-social/blob/master/assets/01_videos/video_04_shorts_algorithm.mp4</t>
        </is>
      </c>
      <c r="J8" s="27" t="inlineStr">
        <is>
          <t>https://github.com/Natarajchandrasekaran/incubrix-gtm-social/blob/master/assets/01_videos/script_04_shorts_algorithm.md</t>
        </is>
      </c>
      <c r="K8" s="27" t="inlineStr">
        <is>
          <t>IncuBrix Product &amp; Creator Master Walkthrough</t>
        </is>
      </c>
      <c r="L8" s="27" t="inlineStr">
        <is>
          <t>IncuBrix Engine + Canva / CapCut</t>
        </is>
      </c>
      <c r="M8" s="27" t="inlineStr">
        <is>
          <t>Yes</t>
        </is>
      </c>
      <c r="N8" s="27" t="inlineStr">
        <is>
          <t>No</t>
        </is>
      </c>
      <c r="O8" s="27" t="inlineStr">
        <is>
          <t>2026-10-23</t>
        </is>
      </c>
      <c r="P8" s="27" t="inlineStr">
        <is>
          <t>https://youtube.com/shorts/placeholder</t>
        </is>
      </c>
      <c r="Q8" s="27" t="n">
        <v>120</v>
      </c>
      <c r="R8" s="27" t="n">
        <v>0.045</v>
      </c>
      <c r="S8" s="27" t="n">
        <v>6</v>
      </c>
      <c r="T8" s="27" t="inlineStr">
        <is>
          <t>Ready</t>
        </is>
      </c>
      <c r="U8" s="27" t="inlineStr">
        <is>
          <t>Length: 55s. Analytics chart breakdown of retention curves.</t>
        </is>
      </c>
      <c r="V8" s="28">
        <f>IF(A8="","",IF(COUNTIF($A$5:$A$154,A8)&gt;1,"DUPLICATE","UNIQUE"))</f>
        <v/>
      </c>
      <c r="W8" s="28">
        <f>IF(A8="","",IF(T8="Rejected","REJECTED",IF(AND(B8&lt;&gt;"",C8&lt;&gt;"",D8&lt;&gt;"",E8&lt;&gt;"",F8&lt;&gt;"",G8&lt;&gt;"",H8&lt;&gt;"",I8&lt;&gt;"",J8&lt;&gt;"",M8&lt;&gt;"",O8&lt;&gt;"",T8&lt;&gt;""),"COMPLETE","MISSING FIELDS")))</f>
        <v/>
      </c>
    </row>
    <row r="9" ht="15" customHeight="1" s="15">
      <c r="A9" s="27" t="inlineStr">
        <is>
          <t>ASSET-05</t>
        </is>
      </c>
      <c r="B9" s="27" t="inlineStr">
        <is>
          <t>Instagram</t>
        </is>
      </c>
      <c r="C9" s="27" t="inlineStr">
        <is>
          <t>Short video</t>
        </is>
      </c>
      <c r="D9" s="27" t="inlineStr">
        <is>
          <t>Product Demo / How-To</t>
        </is>
      </c>
      <c r="E9" s="27" t="inlineStr">
        <is>
          <t>How to clone your voice in 10 seconds and fix recording mistakes without re-shooting.</t>
        </is>
      </c>
      <c r="F9" s="27" t="inlineStr">
        <is>
          <t>Never re-record a 20-minute video because you mispronounced one client's name. Use IncuBrix Voice Clone to patch the audio seamlessly. #VoiceAI #CreatorTools</t>
        </is>
      </c>
      <c r="G9" s="27" t="inlineStr">
        <is>
          <t>Try IncuBrix Voice Clone free at link in bio.</t>
        </is>
      </c>
      <c r="H9" s="27" t="inlineStr">
        <is>
          <t>https://incubrix.com/studio?utm_source=instagram&amp;utm_medium=social&amp;utm_campaign=launch_30&amp;utm_content=asset-05</t>
        </is>
      </c>
      <c r="I9" s="27" t="inlineStr">
        <is>
          <t>https://github.com/Natarajchandrasekaran/incubrix-gtm-social/blob/master/assets/01_videos/video_05_voice_cloning_fix.mp4</t>
        </is>
      </c>
      <c r="J9" s="27" t="inlineStr">
        <is>
          <t>https://github.com/Natarajchandrasekaran/incubrix-gtm-social/blob/master/assets/01_videos/script_05_voice_cloning_fix.md</t>
        </is>
      </c>
      <c r="K9" s="27" t="inlineStr">
        <is>
          <t>IncuBrix Product &amp; Creator Master Walkthrough</t>
        </is>
      </c>
      <c r="L9" s="27" t="inlineStr">
        <is>
          <t>IncuBrix Engine + Canva / CapCut</t>
        </is>
      </c>
      <c r="M9" s="27" t="inlineStr">
        <is>
          <t>Yes</t>
        </is>
      </c>
      <c r="N9" s="27" t="inlineStr">
        <is>
          <t>No</t>
        </is>
      </c>
      <c r="O9" s="27" t="inlineStr">
        <is>
          <t>2026-10-24</t>
        </is>
      </c>
      <c r="P9" s="27" t="inlineStr">
        <is>
          <t>https://youtube.com/shorts/placeholder</t>
        </is>
      </c>
      <c r="Q9" s="27" t="n">
        <v>120</v>
      </c>
      <c r="R9" s="27" t="n">
        <v>0.045</v>
      </c>
      <c r="S9" s="27" t="n">
        <v>6</v>
      </c>
      <c r="T9" s="27" t="inlineStr">
        <is>
          <t>Ready</t>
        </is>
      </c>
      <c r="U9" s="27" t="inlineStr">
        <is>
          <t>Length: 44s. Before and after audio comparison with waveform overlay.</t>
        </is>
      </c>
      <c r="V9" s="28">
        <f>IF(A9="","",IF(COUNTIF($A$5:$A$154,A9)&gt;1,"DUPLICATE","UNIQUE"))</f>
        <v/>
      </c>
      <c r="W9" s="28">
        <f>IF(A9="","",IF(T9="Rejected","REJECTED",IF(AND(B9&lt;&gt;"",C9&lt;&gt;"",D9&lt;&gt;"",E9&lt;&gt;"",F9&lt;&gt;"",G9&lt;&gt;"",H9&lt;&gt;"",I9&lt;&gt;"",J9&lt;&gt;"",M9&lt;&gt;"",O9&lt;&gt;"",T9&lt;&gt;""),"COMPLETE","MISSING FIELDS")))</f>
        <v/>
      </c>
    </row>
    <row r="10" ht="15" customHeight="1" s="15">
      <c r="A10" s="27" t="inlineStr">
        <is>
          <t>ASSET-06</t>
        </is>
      </c>
      <c r="B10" s="27" t="inlineStr">
        <is>
          <t>YouTube Shorts</t>
        </is>
      </c>
      <c r="C10" s="27" t="inlineStr">
        <is>
          <t>Short video</t>
        </is>
      </c>
      <c r="D10" s="27" t="inlineStr">
        <is>
          <t>Industry Insights / AI Tools</t>
        </is>
      </c>
      <c r="E10" s="27" t="inlineStr">
        <is>
          <t>3 AI video tools every solo creator needs in 2026.</t>
        </is>
      </c>
      <c r="F10" s="27" t="inlineStr">
        <is>
          <t>If you don't have a 5-person editing team, these 3 AI tools will give you the same output velocity. #AITools #SoloFounder #ContentCreation</t>
        </is>
      </c>
      <c r="G10" s="27" t="inlineStr">
        <is>
          <t>Save this video and test tool #2 today.</t>
        </is>
      </c>
      <c r="H10" s="27" t="inlineStr">
        <is>
          <t>https://incubrix.com/studio?utm_source=youtube_shorts&amp;utm_medium=social&amp;utm_campaign=launch_30&amp;utm_content=asset-06</t>
        </is>
      </c>
      <c r="I10" s="27" t="inlineStr">
        <is>
          <t>https://github.com/Natarajchandrasekaran/incubrix-gtm-social/blob/master/assets/01_videos/video_06_top_3_ai_tools.mp4</t>
        </is>
      </c>
      <c r="J10" s="27" t="inlineStr">
        <is>
          <t>https://github.com/Natarajchandrasekaran/incubrix-gtm-social/blob/master/assets/01_videos/script_06_top_3_ai_tools.md</t>
        </is>
      </c>
      <c r="K10" s="27" t="inlineStr">
        <is>
          <t>IncuBrix Product &amp; Creator Master Walkthrough</t>
        </is>
      </c>
      <c r="L10" s="27" t="inlineStr">
        <is>
          <t>IncuBrix Engine + Canva / CapCut</t>
        </is>
      </c>
      <c r="M10" s="27" t="inlineStr">
        <is>
          <t>Yes</t>
        </is>
      </c>
      <c r="N10" s="27" t="inlineStr">
        <is>
          <t>No</t>
        </is>
      </c>
      <c r="O10" s="27" t="inlineStr">
        <is>
          <t>2026-10-25</t>
        </is>
      </c>
      <c r="P10" s="27" t="inlineStr">
        <is>
          <t>https://youtube.com/shorts/placeholder</t>
        </is>
      </c>
      <c r="Q10" s="27" t="n">
        <v>120</v>
      </c>
      <c r="R10" s="27" t="n">
        <v>0.045</v>
      </c>
      <c r="S10" s="27" t="n">
        <v>6</v>
      </c>
      <c r="T10" s="27" t="inlineStr">
        <is>
          <t>Ready</t>
        </is>
      </c>
      <c r="U10" s="27" t="inlineStr">
        <is>
          <t>Length: 58s. Rapid 3-tool countdown with UI showcases.</t>
        </is>
      </c>
      <c r="V10" s="28">
        <f>IF(A10="","",IF(COUNTIF($A$5:$A$154,A10)&gt;1,"DUPLICATE","UNIQUE"))</f>
        <v/>
      </c>
      <c r="W10" s="28">
        <f>IF(A10="","",IF(T10="Rejected","REJECTED",IF(AND(B10&lt;&gt;"",C10&lt;&gt;"",D10&lt;&gt;"",E10&lt;&gt;"",F10&lt;&gt;"",G10&lt;&gt;"",H10&lt;&gt;"",I10&lt;&gt;"",J10&lt;&gt;"",M10&lt;&gt;"",O10&lt;&gt;"",T10&lt;&gt;""),"COMPLETE","MISSING FIELDS")))</f>
        <v/>
      </c>
    </row>
    <row r="11" ht="15" customHeight="1" s="15">
      <c r="A11" s="27" t="inlineStr">
        <is>
          <t>ASSET-07</t>
        </is>
      </c>
      <c r="B11" s="27" t="inlineStr">
        <is>
          <t>Instagram</t>
        </is>
      </c>
      <c r="C11" s="27" t="inlineStr">
        <is>
          <t>Short video</t>
        </is>
      </c>
      <c r="D11" s="27" t="inlineStr">
        <is>
          <t>Founder / Behind the Scenes</t>
        </is>
      </c>
      <c r="E11" s="27" t="inlineStr">
        <is>
          <t>We asked 50 B2B founders what wastes the most marketing time. The answer surprised us.</t>
        </is>
      </c>
      <c r="F11" s="27" t="inlineStr">
        <is>
          <t>It wasn't writing or strategy. It was video formatting for 4 different social aspect ratios. Here's how we solved it with 1-click automated reframing. #BuildInPublic #IncuBrix</t>
        </is>
      </c>
      <c r="G11" s="27" t="inlineStr">
        <is>
          <t>Link in bio to see the 1-click aspect ratio switcher.</t>
        </is>
      </c>
      <c r="H11" s="27" t="inlineStr">
        <is>
          <t>https://incubrix.com/studio?utm_source=instagram&amp;utm_medium=social&amp;utm_campaign=launch_30&amp;utm_content=asset-07</t>
        </is>
      </c>
      <c r="I11" s="27" t="inlineStr">
        <is>
          <t>https://github.com/Natarajchandrasekaran/incubrix-gtm-social/blob/master/assets/01_videos/video_07_founder_survey.mp4</t>
        </is>
      </c>
      <c r="J11" s="27" t="inlineStr">
        <is>
          <t>https://github.com/Natarajchandrasekaran/incubrix-gtm-social/blob/master/assets/01_videos/script_07_founder_survey.md</t>
        </is>
      </c>
      <c r="K11" s="27" t="inlineStr">
        <is>
          <t>IncuBrix Product &amp; Creator Master Walkthrough</t>
        </is>
      </c>
      <c r="L11" s="27" t="inlineStr">
        <is>
          <t>IncuBrix Engine + Canva / CapCut</t>
        </is>
      </c>
      <c r="M11" s="27" t="inlineStr">
        <is>
          <t>Yes</t>
        </is>
      </c>
      <c r="N11" s="27" t="inlineStr">
        <is>
          <t>No</t>
        </is>
      </c>
      <c r="O11" s="27" t="inlineStr">
        <is>
          <t>2026-10-26</t>
        </is>
      </c>
      <c r="P11" s="27" t="inlineStr">
        <is>
          <t>https://youtube.com/shorts/placeholder</t>
        </is>
      </c>
      <c r="Q11" s="27" t="n">
        <v>120</v>
      </c>
      <c r="R11" s="27" t="n">
        <v>0.045</v>
      </c>
      <c r="S11" s="27" t="n">
        <v>6</v>
      </c>
      <c r="T11" s="27" t="inlineStr">
        <is>
          <t>Ready</t>
        </is>
      </c>
      <c r="U11" s="27" t="inlineStr">
        <is>
          <t>Length: 46s. Candid founder video with office b-roll.</t>
        </is>
      </c>
      <c r="V11" s="28">
        <f>IF(A11="","",IF(COUNTIF($A$5:$A$154,A11)&gt;1,"DUPLICATE","UNIQUE"))</f>
        <v/>
      </c>
      <c r="W11" s="28">
        <f>IF(A11="","",IF(T11="Rejected","REJECTED",IF(AND(B11&lt;&gt;"",C11&lt;&gt;"",D11&lt;&gt;"",E11&lt;&gt;"",F11&lt;&gt;"",G11&lt;&gt;"",H11&lt;&gt;"",I11&lt;&gt;"",J11&lt;&gt;"",M11&lt;&gt;"",O11&lt;&gt;"",T11&lt;&gt;""),"COMPLETE","MISSING FIELDS")))</f>
        <v/>
      </c>
    </row>
    <row r="12" ht="15" customHeight="1" s="15">
      <c r="A12" s="27" t="inlineStr">
        <is>
          <t>ASSET-08</t>
        </is>
      </c>
      <c r="B12" s="27" t="inlineStr">
        <is>
          <t>YouTube Shorts</t>
        </is>
      </c>
      <c r="C12" s="27" t="inlineStr">
        <is>
          <t>Short video</t>
        </is>
      </c>
      <c r="D12" s="27" t="inlineStr">
        <is>
          <t>Product Demo / How-To</t>
        </is>
      </c>
      <c r="E12" s="27" t="inlineStr">
        <is>
          <t>How to generate AI B-roll that actually matches what you are saying.</t>
        </is>
      </c>
      <c r="F12" s="27" t="inlineStr">
        <is>
          <t>Generic stock video ruins viewer trust. Here is how IncuBrix analyzes spoken context to insert cinematic, hyper-relevant B-roll overlays. #VideoProduction #AIFilmmaking</t>
        </is>
      </c>
      <c r="G12" s="27" t="inlineStr">
        <is>
          <t>Watch full walkthrough at the link in description.</t>
        </is>
      </c>
      <c r="H12" s="27" t="inlineStr">
        <is>
          <t>https://incubrix.com/studio?utm_source=youtube_shorts&amp;utm_medium=social&amp;utm_campaign=launch_30&amp;utm_content=asset-08</t>
        </is>
      </c>
      <c r="I12" s="27" t="inlineStr">
        <is>
          <t>https://github.com/Natarajchandrasekaran/incubrix-gtm-social/blob/master/assets/01_videos/video_08_smart_broll.mp4</t>
        </is>
      </c>
      <c r="J12" s="27" t="inlineStr">
        <is>
          <t>https://github.com/Natarajchandrasekaran/incubrix-gtm-social/blob/master/assets/01_videos/script_08_smart_broll.md</t>
        </is>
      </c>
      <c r="K12" s="27" t="inlineStr">
        <is>
          <t>IncuBrix Product &amp; Creator Master Walkthrough</t>
        </is>
      </c>
      <c r="L12" s="27" t="inlineStr">
        <is>
          <t>IncuBrix Engine + Canva / CapCut</t>
        </is>
      </c>
      <c r="M12" s="27" t="inlineStr">
        <is>
          <t>Yes</t>
        </is>
      </c>
      <c r="N12" s="27" t="inlineStr">
        <is>
          <t>No</t>
        </is>
      </c>
      <c r="O12" s="27" t="inlineStr">
        <is>
          <t>2026-10-27</t>
        </is>
      </c>
      <c r="P12" s="27" t="inlineStr">
        <is>
          <t>https://youtube.com/shorts/placeholder</t>
        </is>
      </c>
      <c r="Q12" s="27" t="n">
        <v>120</v>
      </c>
      <c r="R12" s="27" t="n">
        <v>0.045</v>
      </c>
      <c r="S12" s="27" t="n">
        <v>6</v>
      </c>
      <c r="T12" s="27" t="inlineStr">
        <is>
          <t>Ready</t>
        </is>
      </c>
      <c r="U12" s="27" t="inlineStr">
        <is>
          <t>Length: 50s. Side-by-side demo of speech keyword matching stock footage.</t>
        </is>
      </c>
      <c r="V12" s="28">
        <f>IF(A12="","",IF(COUNTIF($A$5:$A$154,A12)&gt;1,"DUPLICATE","UNIQUE"))</f>
        <v/>
      </c>
      <c r="W12" s="28">
        <f>IF(A12="","",IF(T12="Rejected","REJECTED",IF(AND(B12&lt;&gt;"",C12&lt;&gt;"",D12&lt;&gt;"",E12&lt;&gt;"",F12&lt;&gt;"",G12&lt;&gt;"",H12&lt;&gt;"",I12&lt;&gt;"",J12&lt;&gt;"",M12&lt;&gt;"",O12&lt;&gt;"",T12&lt;&gt;""),"COMPLETE","MISSING FIELDS")))</f>
        <v/>
      </c>
    </row>
    <row r="13" ht="15" customHeight="1" s="15">
      <c r="A13" s="27" t="inlineStr">
        <is>
          <t>ASSET-09</t>
        </is>
      </c>
      <c r="B13" s="27" t="inlineStr">
        <is>
          <t>Instagram</t>
        </is>
      </c>
      <c r="C13" s="27" t="inlineStr">
        <is>
          <t>Short video</t>
        </is>
      </c>
      <c r="D13" s="27" t="inlineStr">
        <is>
          <t>Creator Growth / Strategy</t>
        </is>
      </c>
      <c r="E13" s="27" t="inlineStr">
        <is>
          <t>The 'Thumbnail Contrast Test' that increased our client's CTR by 38%.</t>
        </is>
      </c>
      <c r="F13" s="27" t="inlineStr">
        <is>
          <t>If your thumbnail blends into the dark mode background of YouTube and Instagram, you lose clicks. Use this simple 3-second visual test before publishing. #GrowthMarketing #Thumbnails</t>
        </is>
      </c>
      <c r="G13" s="27" t="inlineStr">
        <is>
          <t>Share this with your editor.</t>
        </is>
      </c>
      <c r="H13" s="27" t="inlineStr">
        <is>
          <t>https://incubrix.com/studio?utm_source=instagram&amp;utm_medium=social&amp;utm_campaign=launch_30&amp;utm_content=asset-09</t>
        </is>
      </c>
      <c r="I13" s="27" t="inlineStr">
        <is>
          <t>https://github.com/Natarajchandrasekaran/incubrix-gtm-social/blob/master/assets/01_videos/video_09_thumbnail_contrast.mp4</t>
        </is>
      </c>
      <c r="J13" s="27" t="inlineStr">
        <is>
          <t>https://github.com/Natarajchandrasekaran/incubrix-gtm-social/blob/master/assets/01_videos/script_09_thumbnail_contrast.md</t>
        </is>
      </c>
      <c r="K13" s="27" t="inlineStr">
        <is>
          <t>IncuBrix Product &amp; Creator Master Walkthrough</t>
        </is>
      </c>
      <c r="L13" s="27" t="inlineStr">
        <is>
          <t>IncuBrix Engine + Canva / CapCut</t>
        </is>
      </c>
      <c r="M13" s="27" t="inlineStr">
        <is>
          <t>Yes</t>
        </is>
      </c>
      <c r="N13" s="27" t="inlineStr">
        <is>
          <t>No</t>
        </is>
      </c>
      <c r="O13" s="27" t="inlineStr">
        <is>
          <t>2026-10-28</t>
        </is>
      </c>
      <c r="P13" s="27" t="inlineStr">
        <is>
          <t>https://youtube.com/shorts/placeholder</t>
        </is>
      </c>
      <c r="Q13" s="27" t="n">
        <v>120</v>
      </c>
      <c r="R13" s="27" t="n">
        <v>0.045</v>
      </c>
      <c r="S13" s="27" t="n">
        <v>6</v>
      </c>
      <c r="T13" s="27" t="inlineStr">
        <is>
          <t>Ready</t>
        </is>
      </c>
      <c r="U13" s="27" t="inlineStr">
        <is>
          <t>Length: 42s. Visual demonstration with color palette contrast checkers.</t>
        </is>
      </c>
      <c r="V13" s="28">
        <f>IF(A13="","",IF(COUNTIF($A$5:$A$154,A13)&gt;1,"DUPLICATE","UNIQUE"))</f>
        <v/>
      </c>
      <c r="W13" s="28">
        <f>IF(A13="","",IF(T13="Rejected","REJECTED",IF(AND(B13&lt;&gt;"",C13&lt;&gt;"",D13&lt;&gt;"",E13&lt;&gt;"",F13&lt;&gt;"",G13&lt;&gt;"",H13&lt;&gt;"",I13&lt;&gt;"",J13&lt;&gt;"",M13&lt;&gt;"",O13&lt;&gt;"",T13&lt;&gt;""),"COMPLETE","MISSING FIELDS")))</f>
        <v/>
      </c>
    </row>
    <row r="14" ht="15" customHeight="1" s="15">
      <c r="A14" s="27" t="inlineStr">
        <is>
          <t>ASSET-10</t>
        </is>
      </c>
      <c r="B14" s="27" t="inlineStr">
        <is>
          <t>YouTube Shorts</t>
        </is>
      </c>
      <c r="C14" s="27" t="inlineStr">
        <is>
          <t>Short video</t>
        </is>
      </c>
      <c r="D14" s="27" t="inlineStr">
        <is>
          <t>Product Demo / How-To</t>
        </is>
      </c>
      <c r="E14" s="27" t="inlineStr">
        <is>
          <t>One-click multi-platform publishing: YouTube, LinkedIn, Instagram, and Bluesky.</t>
        </is>
      </c>
      <c r="F14" s="27" t="inlineStr">
        <is>
          <t>Stop logging into 4 tabs to paste captions and re-upload files. Schedule your entire video distribution from one dashboard in IncuBrix. #ProductivityHack #SocialMediaScheduler</t>
        </is>
      </c>
      <c r="G14" s="27" t="inlineStr">
        <is>
          <t>Start publishing faster at IncuBrix.com.</t>
        </is>
      </c>
      <c r="H14" s="27" t="inlineStr">
        <is>
          <t>https://incubrix.com/studio?utm_source=youtube_shorts&amp;utm_medium=social&amp;utm_campaign=launch_30&amp;utm_content=asset-10</t>
        </is>
      </c>
      <c r="I14" s="27" t="inlineStr">
        <is>
          <t>https://github.com/Natarajchandrasekaran/incubrix-gtm-social/blob/master/assets/01_videos/video_10_multi_publish.mp4</t>
        </is>
      </c>
      <c r="J14" s="27" t="inlineStr">
        <is>
          <t>https://github.com/Natarajchandrasekaran/incubrix-gtm-social/blob/master/assets/01_videos/script_10_multi_publish.md</t>
        </is>
      </c>
      <c r="K14" s="27" t="inlineStr">
        <is>
          <t>IncuBrix Product &amp; Creator Master Walkthrough</t>
        </is>
      </c>
      <c r="L14" s="27" t="inlineStr">
        <is>
          <t>IncuBrix Engine + Canva / CapCut</t>
        </is>
      </c>
      <c r="M14" s="27" t="inlineStr">
        <is>
          <t>Yes</t>
        </is>
      </c>
      <c r="N14" s="27" t="inlineStr">
        <is>
          <t>No</t>
        </is>
      </c>
      <c r="O14" s="27" t="inlineStr">
        <is>
          <t>2026-10-29</t>
        </is>
      </c>
      <c r="P14" s="27" t="inlineStr">
        <is>
          <t>https://youtube.com/shorts/placeholder</t>
        </is>
      </c>
      <c r="Q14" s="27" t="n">
        <v>120</v>
      </c>
      <c r="R14" s="27" t="n">
        <v>0.045</v>
      </c>
      <c r="S14" s="27" t="n">
        <v>6</v>
      </c>
      <c r="T14" s="27" t="inlineStr">
        <is>
          <t>Ready</t>
        </is>
      </c>
      <c r="U14" s="27" t="inlineStr">
        <is>
          <t>Length: 53s. Dashboard screen capture showing simultaneous multi-platform push.</t>
        </is>
      </c>
      <c r="V14" s="28">
        <f>IF(A14="","",IF(COUNTIF($A$5:$A$154,A14)&gt;1,"DUPLICATE","UNIQUE"))</f>
        <v/>
      </c>
      <c r="W14" s="28">
        <f>IF(A14="","",IF(T14="Rejected","REJECTED",IF(AND(B14&lt;&gt;"",C14&lt;&gt;"",D14&lt;&gt;"",E14&lt;&gt;"",F14&lt;&gt;"",G14&lt;&gt;"",H14&lt;&gt;"",I14&lt;&gt;"",J14&lt;&gt;"",M14&lt;&gt;"",O14&lt;&gt;"",T14&lt;&gt;""),"COMPLETE","MISSING FIELDS")))</f>
        <v/>
      </c>
    </row>
    <row r="15" ht="15" customHeight="1" s="15">
      <c r="A15" s="27" t="inlineStr">
        <is>
          <t>ASSET-11</t>
        </is>
      </c>
      <c r="B15" s="27" t="inlineStr">
        <is>
          <t>LinkedIn</t>
        </is>
      </c>
      <c r="C15" s="27" t="inlineStr">
        <is>
          <t>Carousel</t>
        </is>
      </c>
      <c r="D15" s="27" t="inlineStr">
        <is>
          <t>Product Demo / How-To</t>
        </is>
      </c>
      <c r="E15" s="27" t="inlineStr">
        <is>
          <t>How to Turn 1 Webinar into 1 Month of Content (The Step-by-Step Playbook)</t>
        </is>
      </c>
      <c r="F15" s="27" t="inlineStr">
        <is>
          <t>Stop letting your 45-minute webinars collect dust. Swipe through for the step-by-step playbook to extract 5 reels, 4 carousels, and 1 newsletter with IncuBrix Creator Studio.</t>
        </is>
      </c>
      <c r="G15" s="27" t="inlineStr">
        <is>
          <t>Download our free Creator Studio repurposing checklist at the link in comments.</t>
        </is>
      </c>
      <c r="H15" s="27" t="inlineStr">
        <is>
          <t>https://incubrix.com/studio?utm_source=linkedin&amp;utm_medium=social&amp;utm_campaign=launch_30&amp;utm_content=asset-11</t>
        </is>
      </c>
      <c r="I15" s="27" t="inlineStr">
        <is>
          <t>https://github.com/Natarajchandrasekaran/incubrix-gtm-social/blob/master/assets/02_carousels/carousel_01_webinar_repurpose.pdf</t>
        </is>
      </c>
      <c r="J15" s="27" t="inlineStr">
        <is>
          <t>https://github.com/Natarajchandrasekaran/incubrix-gtm-social/blob/master/assets/02_carousels/carousel_01_webinar_repurpose.md</t>
        </is>
      </c>
      <c r="K15" s="27" t="inlineStr">
        <is>
          <t>IncuBrix Product &amp; Creator Master Walkthrough</t>
        </is>
      </c>
      <c r="L15" s="27" t="inlineStr">
        <is>
          <t>IncuBrix Engine + Canva / CapCut</t>
        </is>
      </c>
      <c r="M15" s="27" t="inlineStr">
        <is>
          <t>Yes</t>
        </is>
      </c>
      <c r="N15" s="27" t="inlineStr">
        <is>
          <t>No</t>
        </is>
      </c>
      <c r="O15" s="27" t="inlineStr">
        <is>
          <t>2026-10-30</t>
        </is>
      </c>
      <c r="P15" s="27" t="inlineStr">
        <is>
          <t>https://linkedin.com/feed/update/urn:li:activity:placeholder</t>
        </is>
      </c>
      <c r="Q15" s="27" t="n">
        <v>120</v>
      </c>
      <c r="R15" s="27" t="n">
        <v>0.045</v>
      </c>
      <c r="S15" s="27" t="n">
        <v>6</v>
      </c>
      <c r="T15" s="27" t="inlineStr">
        <is>
          <t>Ready</t>
        </is>
      </c>
      <c r="U15" s="27" t="inlineStr">
        <is>
          <t>7-slide PDF carousel with high-contrast typography and product screenshots.</t>
        </is>
      </c>
      <c r="V15" s="28">
        <f>IF(A15="","",IF(COUNTIF($A$5:$A$154,A15)&gt;1,"DUPLICATE","UNIQUE"))</f>
        <v/>
      </c>
      <c r="W15" s="28">
        <f>IF(A15="","",IF(T15="Rejected","REJECTED",IF(AND(B15&lt;&gt;"",C15&lt;&gt;"",D15&lt;&gt;"",E15&lt;&gt;"",F15&lt;&gt;"",G15&lt;&gt;"",H15&lt;&gt;"",I15&lt;&gt;"",J15&lt;&gt;"",M15&lt;&gt;"",O15&lt;&gt;"",T15&lt;&gt;""),"COMPLETE","MISSING FIELDS")))</f>
        <v/>
      </c>
    </row>
    <row r="16" ht="15" customHeight="1" s="15">
      <c r="A16" s="27" t="inlineStr">
        <is>
          <t>ASSET-12</t>
        </is>
      </c>
      <c r="B16" s="27" t="inlineStr">
        <is>
          <t>Instagram</t>
        </is>
      </c>
      <c r="C16" s="27" t="inlineStr">
        <is>
          <t>Carousel</t>
        </is>
      </c>
      <c r="D16" s="27" t="inlineStr">
        <is>
          <t>Creator Growth / Strategy</t>
        </is>
      </c>
      <c r="E16" s="27" t="inlineStr">
        <is>
          <t>5 Video Hooks That Get 100k+ Views (With Word-for-Word Templates)</t>
        </is>
      </c>
      <c r="F16" s="27" t="inlineStr">
        <is>
          <t>Your video dies in the first 3 seconds if your hook is weak. Swipe through for 5 tested hook formulas that drive 70%+ retention. #HookFormulas #VideoStrategy</t>
        </is>
      </c>
      <c r="G16" s="27" t="inlineStr">
        <is>
          <t>Save this post for your next scriptwriting batch.</t>
        </is>
      </c>
      <c r="H16" s="27" t="inlineStr">
        <is>
          <t>https://incubrix.com/studio?utm_source=instagram&amp;utm_medium=social&amp;utm_campaign=launch_30&amp;utm_content=asset-12</t>
        </is>
      </c>
      <c r="I16" s="27" t="inlineStr">
        <is>
          <t>https://github.com/Natarajchandrasekaran/incubrix-gtm-social/blob/master/assets/02_carousels/carousel_02_hook_formulas.pdf</t>
        </is>
      </c>
      <c r="J16" s="27" t="inlineStr">
        <is>
          <t>https://github.com/Natarajchandrasekaran/incubrix-gtm-social/blob/master/assets/02_carousels/carousel_02_hook_formulas.md</t>
        </is>
      </c>
      <c r="K16" s="27" t="inlineStr">
        <is>
          <t>IncuBrix Product &amp; Creator Master Walkthrough</t>
        </is>
      </c>
      <c r="L16" s="27" t="inlineStr">
        <is>
          <t>IncuBrix Engine + Canva / CapCut</t>
        </is>
      </c>
      <c r="M16" s="27" t="inlineStr">
        <is>
          <t>Yes</t>
        </is>
      </c>
      <c r="N16" s="27" t="inlineStr">
        <is>
          <t>No</t>
        </is>
      </c>
      <c r="O16" s="27" t="inlineStr">
        <is>
          <t>2026-10-31</t>
        </is>
      </c>
      <c r="P16" s="27" t="inlineStr">
        <is>
          <t>https://youtube.com/shorts/placeholder</t>
        </is>
      </c>
      <c r="Q16" s="27" t="n">
        <v>120</v>
      </c>
      <c r="R16" s="27" t="n">
        <v>0.045</v>
      </c>
      <c r="S16" s="27" t="n">
        <v>6</v>
      </c>
      <c r="T16" s="27" t="inlineStr">
        <is>
          <t>Ready</t>
        </is>
      </c>
      <c r="U16" s="27" t="inlineStr">
        <is>
          <t>6 visual slides designed with high-contrast styling and template fill-in blanks.</t>
        </is>
      </c>
      <c r="V16" s="28">
        <f>IF(A16="","",IF(COUNTIF($A$5:$A$154,A16)&gt;1,"DUPLICATE","UNIQUE"))</f>
        <v/>
      </c>
      <c r="W16" s="28">
        <f>IF(A16="","",IF(T16="Rejected","REJECTED",IF(AND(B16&lt;&gt;"",C16&lt;&gt;"",D16&lt;&gt;"",E16&lt;&gt;"",F16&lt;&gt;"",G16&lt;&gt;"",H16&lt;&gt;"",I16&lt;&gt;"",J16&lt;&gt;"",M16&lt;&gt;"",O16&lt;&gt;"",T16&lt;&gt;""),"COMPLETE","MISSING FIELDS")))</f>
        <v/>
      </c>
    </row>
    <row r="17" ht="15" customHeight="1" s="15">
      <c r="A17" s="27" t="inlineStr">
        <is>
          <t>ASSET-13</t>
        </is>
      </c>
      <c r="B17" s="27" t="inlineStr">
        <is>
          <t>LinkedIn</t>
        </is>
      </c>
      <c r="C17" s="27" t="inlineStr">
        <is>
          <t>Carousel</t>
        </is>
      </c>
      <c r="D17" s="27" t="inlineStr">
        <is>
          <t>Industry Insights / AI Tools</t>
        </is>
      </c>
      <c r="E17" s="27" t="inlineStr">
        <is>
          <t>The 2026 Creator Tech Stack: From Script to Omnichannel Distribution</t>
        </is>
      </c>
      <c r="F17" s="27" t="inlineStr">
        <is>
          <t>Here is the modern production stack used by $10M+ creator companies to produce 50+ assets weekly with lean teams. Swipe through for our architecture breakdown.</t>
        </is>
      </c>
      <c r="G17" s="27" t="inlineStr">
        <is>
          <t>Follow IncuBrix for weekly creator engineering playbooks.</t>
        </is>
      </c>
      <c r="H17" s="27" t="inlineStr">
        <is>
          <t>https://incubrix.com/studio?utm_source=linkedin&amp;utm_medium=social&amp;utm_campaign=launch_30&amp;utm_content=asset-13</t>
        </is>
      </c>
      <c r="I17" s="27" t="inlineStr">
        <is>
          <t>https://github.com/Natarajchandrasekaran/incubrix-gtm-social/blob/master/assets/02_carousels/carousel_03_creator_tech_stack.pdf</t>
        </is>
      </c>
      <c r="J17" s="27" t="inlineStr">
        <is>
          <t>https://github.com/Natarajchandrasekaran/incubrix-gtm-social/blob/master/assets/02_carousels/carousel_03_creator_tech_stack.md</t>
        </is>
      </c>
      <c r="K17" s="27" t="inlineStr">
        <is>
          <t>IncuBrix Product &amp; Creator Master Walkthrough</t>
        </is>
      </c>
      <c r="L17" s="27" t="inlineStr">
        <is>
          <t>IncuBrix Engine + Canva / CapCut</t>
        </is>
      </c>
      <c r="M17" s="27" t="inlineStr">
        <is>
          <t>Yes</t>
        </is>
      </c>
      <c r="N17" s="27" t="inlineStr">
        <is>
          <t>No</t>
        </is>
      </c>
      <c r="O17" s="27" t="inlineStr">
        <is>
          <t>2026-11-01</t>
        </is>
      </c>
      <c r="P17" s="27" t="inlineStr">
        <is>
          <t>https://linkedin.com/feed/update/urn:li:activity:placeholder</t>
        </is>
      </c>
      <c r="Q17" s="27" t="n">
        <v>120</v>
      </c>
      <c r="R17" s="27" t="n">
        <v>0.045</v>
      </c>
      <c r="S17" s="27" t="n">
        <v>6</v>
      </c>
      <c r="T17" s="27" t="inlineStr">
        <is>
          <t>Ready</t>
        </is>
      </c>
      <c r="U17" s="27" t="inlineStr">
        <is>
          <t>8-slide architectural blueprint detailing ideation, production, and distribution.</t>
        </is>
      </c>
      <c r="V17" s="28">
        <f>IF(A17="","",IF(COUNTIF($A$5:$A$154,A17)&gt;1,"DUPLICATE","UNIQUE"))</f>
        <v/>
      </c>
      <c r="W17" s="28">
        <f>IF(A17="","",IF(T17="Rejected","REJECTED",IF(AND(B17&lt;&gt;"",C17&lt;&gt;"",D17&lt;&gt;"",E17&lt;&gt;"",F17&lt;&gt;"",G17&lt;&gt;"",H17&lt;&gt;"",I17&lt;&gt;"",J17&lt;&gt;"",M17&lt;&gt;"",O17&lt;&gt;"",T17&lt;&gt;""),"COMPLETE","MISSING FIELDS")))</f>
        <v/>
      </c>
    </row>
    <row r="18" ht="15" customHeight="1" s="15">
      <c r="A18" s="27" t="inlineStr">
        <is>
          <t>ASSET-14</t>
        </is>
      </c>
      <c r="B18" s="27" t="inlineStr">
        <is>
          <t>Instagram</t>
        </is>
      </c>
      <c r="C18" s="27" t="inlineStr">
        <is>
          <t>Carousel</t>
        </is>
      </c>
      <c r="D18" s="27" t="inlineStr">
        <is>
          <t>Product Demo / How-To</t>
        </is>
      </c>
      <c r="E18" s="27" t="inlineStr">
        <is>
          <t>The Anatomy of a Perfect 60-Second Short: Second-by-Second Breakdown</t>
        </is>
      </c>
      <c r="F18" s="27" t="inlineStr">
        <is>
          <t>Seconds 0-3: Hook. Seconds 4-15: Core premise. Seconds 16-45: 3 rapid value nuggets. Seconds 46-60: Loopable payoff and CTA. Swipe to see the framework in action.</t>
        </is>
      </c>
      <c r="G18" s="27" t="inlineStr">
        <is>
          <t>Link in bio to build your next short in IncuBrix Creator Studio.</t>
        </is>
      </c>
      <c r="H18" s="27" t="inlineStr">
        <is>
          <t>https://incubrix.com/studio?utm_source=instagram&amp;utm_medium=social&amp;utm_campaign=launch_30&amp;utm_content=asset-14</t>
        </is>
      </c>
      <c r="I18" s="27" t="inlineStr">
        <is>
          <t>https://github.com/Natarajchandrasekaran/incubrix-gtm-social/blob/master/assets/02_carousels/carousel_04_short_anatomy.pdf</t>
        </is>
      </c>
      <c r="J18" s="27" t="inlineStr">
        <is>
          <t>https://github.com/Natarajchandrasekaran/incubrix-gtm-social/blob/master/assets/02_carousels/carousel_04_short_anatomy.md</t>
        </is>
      </c>
      <c r="K18" s="27" t="inlineStr">
        <is>
          <t>IncuBrix Product &amp; Creator Master Walkthrough</t>
        </is>
      </c>
      <c r="L18" s="27" t="inlineStr">
        <is>
          <t>IncuBrix Engine + Canva / CapCut</t>
        </is>
      </c>
      <c r="M18" s="27" t="inlineStr">
        <is>
          <t>Yes</t>
        </is>
      </c>
      <c r="N18" s="27" t="inlineStr">
        <is>
          <t>No</t>
        </is>
      </c>
      <c r="O18" s="27" t="inlineStr">
        <is>
          <t>2026-11-02</t>
        </is>
      </c>
      <c r="P18" s="27" t="inlineStr">
        <is>
          <t>https://youtube.com/shorts/placeholder</t>
        </is>
      </c>
      <c r="Q18" s="27" t="n">
        <v>120</v>
      </c>
      <c r="R18" s="27" t="n">
        <v>0.045</v>
      </c>
      <c r="S18" s="27" t="n">
        <v>6</v>
      </c>
      <c r="T18" s="27" t="inlineStr">
        <is>
          <t>Ready</t>
        </is>
      </c>
      <c r="U18" s="27" t="inlineStr">
        <is>
          <t>5-slide visual breakdown with color-coded retention pacing diagrams.</t>
        </is>
      </c>
      <c r="V18" s="28">
        <f>IF(A18="","",IF(COUNTIF($A$5:$A$154,A18)&gt;1,"DUPLICATE","UNIQUE"))</f>
        <v/>
      </c>
      <c r="W18" s="28">
        <f>IF(A18="","",IF(T18="Rejected","REJECTED",IF(AND(B18&lt;&gt;"",C18&lt;&gt;"",D18&lt;&gt;"",E18&lt;&gt;"",F18&lt;&gt;"",G18&lt;&gt;"",H18&lt;&gt;"",I18&lt;&gt;"",J18&lt;&gt;"",M18&lt;&gt;"",O18&lt;&gt;"",T18&lt;&gt;""),"COMPLETE","MISSING FIELDS")))</f>
        <v/>
      </c>
    </row>
    <row r="19" ht="15" customHeight="1" s="15">
      <c r="A19" s="27" t="inlineStr">
        <is>
          <t>ASSET-15</t>
        </is>
      </c>
      <c r="B19" s="27" t="inlineStr">
        <is>
          <t>LinkedIn</t>
        </is>
      </c>
      <c r="C19" s="27" t="inlineStr">
        <is>
          <t>Carousel</t>
        </is>
      </c>
      <c r="D19" s="27" t="inlineStr">
        <is>
          <t>Founder / Behind the Scenes</t>
        </is>
      </c>
      <c r="E19" s="27" t="inlineStr">
        <is>
          <t>Why We Killed Our Manual Video Pipeline and Built an Automated Engine</t>
        </is>
      </c>
      <c r="F19" s="27" t="inlineStr">
        <is>
          <t>Our engineering journey building IncuBrix: What worked, what failed, and why automating media production is the biggest leverage point for modern tech companies.</t>
        </is>
      </c>
      <c r="G19" s="27" t="inlineStr">
        <is>
          <t>Read our full engineering whitepaper linked in the comments.</t>
        </is>
      </c>
      <c r="H19" s="27" t="inlineStr">
        <is>
          <t>https://incubrix.com/studio?utm_source=linkedin&amp;utm_medium=social&amp;utm_campaign=launch_30&amp;utm_content=asset-15</t>
        </is>
      </c>
      <c r="I19" s="27" t="inlineStr">
        <is>
          <t>https://github.com/Natarajchandrasekaran/incubrix-gtm-social/blob/master/assets/02_carousels/carousel_05_why_we_built_incubrix.pdf</t>
        </is>
      </c>
      <c r="J19" s="27" t="inlineStr">
        <is>
          <t>https://github.com/Natarajchandrasekaran/incubrix-gtm-social/blob/master/assets/02_carousels/carousel_05_why_we_built_incubrix.md</t>
        </is>
      </c>
      <c r="K19" s="27" t="inlineStr">
        <is>
          <t>IncuBrix Product &amp; Creator Master Walkthrough</t>
        </is>
      </c>
      <c r="L19" s="27" t="inlineStr">
        <is>
          <t>IncuBrix Engine + Canva / CapCut</t>
        </is>
      </c>
      <c r="M19" s="27" t="inlineStr">
        <is>
          <t>Yes</t>
        </is>
      </c>
      <c r="N19" s="27" t="inlineStr">
        <is>
          <t>No</t>
        </is>
      </c>
      <c r="O19" s="27" t="inlineStr">
        <is>
          <t>2026-11-03</t>
        </is>
      </c>
      <c r="P19" s="27" t="inlineStr">
        <is>
          <t>https://linkedin.com/feed/update/urn:li:activity:placeholder</t>
        </is>
      </c>
      <c r="Q19" s="27" t="n">
        <v>120</v>
      </c>
      <c r="R19" s="27" t="n">
        <v>0.045</v>
      </c>
      <c r="S19" s="27" t="n">
        <v>6</v>
      </c>
      <c r="T19" s="27" t="inlineStr">
        <is>
          <t>Ready</t>
        </is>
      </c>
      <c r="U19" s="27" t="inlineStr">
        <is>
          <t>6-slide story narrative with raw metrics, timeline charts, and takeaways.</t>
        </is>
      </c>
      <c r="V19" s="28">
        <f>IF(A19="","",IF(COUNTIF($A$5:$A$154,A19)&gt;1,"DUPLICATE","UNIQUE"))</f>
        <v/>
      </c>
      <c r="W19" s="28">
        <f>IF(A19="","",IF(T19="Rejected","REJECTED",IF(AND(B19&lt;&gt;"",C19&lt;&gt;"",D19&lt;&gt;"",E19&lt;&gt;"",F19&lt;&gt;"",G19&lt;&gt;"",H19&lt;&gt;"",I19&lt;&gt;"",J19&lt;&gt;"",M19&lt;&gt;"",O19&lt;&gt;"",T19&lt;&gt;""),"COMPLETE","MISSING FIELDS")))</f>
        <v/>
      </c>
    </row>
    <row r="20" ht="15" customHeight="1" s="15">
      <c r="A20" s="27" t="inlineStr">
        <is>
          <t>ASSET-16</t>
        </is>
      </c>
      <c r="B20" s="27" t="inlineStr">
        <is>
          <t>LinkedIn</t>
        </is>
      </c>
      <c r="C20" s="27" t="inlineStr">
        <is>
          <t>Text post</t>
        </is>
      </c>
      <c r="D20" s="27" t="inlineStr">
        <is>
          <t>Creator Growth / Strategy</t>
        </is>
      </c>
      <c r="E20" s="27" t="inlineStr">
        <is>
          <t>Most B2B founders abandon podcasting after episode 7. Not because the conversations are bad, but because post-production is exhausting.</t>
        </is>
      </c>
      <c r="F20" s="27" t="inlineStr">
        <is>
          <t>Most B2B founders abandon podcasting after episode 7.
Not because the conversations are bad.
Because post-production is exhausting:
→ 1 hour recording = 4 hours finding hooks
→ 2 hours formatting 9:16 vertical reels
→ 1 hour creating LinkedIn carousels
At IncuBrix, we automated the entire pipeline.
Work like a media company with a team of 1.</t>
        </is>
      </c>
      <c r="G20" s="27" t="inlineStr">
        <is>
          <t>Test the workflow for yourself at the link in the comments.</t>
        </is>
      </c>
      <c r="H20" s="27" t="inlineStr">
        <is>
          <t>https://incubrix.com/studio?utm_source=linkedin&amp;utm_medium=social&amp;utm_campaign=launch_30&amp;utm_content=asset-16</t>
        </is>
      </c>
      <c r="I20" s="27" t="inlineStr">
        <is>
          <t>https://github.com/Natarajchandrasekaran/incubrix-gtm-social/blob/master/assets/03_text_posts/post_16_b2b_podcast_dropoff.txt</t>
        </is>
      </c>
      <c r="J20" s="27" t="inlineStr">
        <is>
          <t>https://github.com/Natarajchandrasekaran/incubrix-gtm-social/blob/master/assets/03_text_posts/post_16_b2b_podcast_dropoff.md</t>
        </is>
      </c>
      <c r="K20" s="27" t="inlineStr">
        <is>
          <t>IncuBrix Product &amp; Creator Master Walkthrough</t>
        </is>
      </c>
      <c r="L20" s="27" t="inlineStr">
        <is>
          <t>IncuBrix Engine + Canva / CapCut</t>
        </is>
      </c>
      <c r="M20" s="27" t="inlineStr">
        <is>
          <t>Yes</t>
        </is>
      </c>
      <c r="N20" s="27" t="inlineStr">
        <is>
          <t>No</t>
        </is>
      </c>
      <c r="O20" s="27" t="inlineStr">
        <is>
          <t>2026-11-04</t>
        </is>
      </c>
      <c r="P20" s="27" t="inlineStr">
        <is>
          <t>https://linkedin.com/feed/update/urn:li:activity:placeholder</t>
        </is>
      </c>
      <c r="Q20" s="27" t="n">
        <v>120</v>
      </c>
      <c r="R20" s="27" t="n">
        <v>0.045</v>
      </c>
      <c r="S20" s="27" t="n">
        <v>6</v>
      </c>
      <c r="T20" s="27" t="inlineStr">
        <is>
          <t>Ready</t>
        </is>
      </c>
      <c r="U20" s="27" t="inlineStr">
        <is>
          <t>Text post formatted with clean spacing and bullet points for high readability.</t>
        </is>
      </c>
      <c r="V20" s="28">
        <f>IF(A20="","",IF(COUNTIF($A$5:$A$154,A20)&gt;1,"DUPLICATE","UNIQUE"))</f>
        <v/>
      </c>
      <c r="W20" s="28">
        <f>IF(A20="","",IF(T20="Rejected","REJECTED",IF(AND(B20&lt;&gt;"",C20&lt;&gt;"",D20&lt;&gt;"",E20&lt;&gt;"",F20&lt;&gt;"",G20&lt;&gt;"",H20&lt;&gt;"",I20&lt;&gt;"",J20&lt;&gt;"",M20&lt;&gt;"",O20&lt;&gt;"",T20&lt;&gt;""),"COMPLETE","MISSING FIELDS")))</f>
        <v/>
      </c>
    </row>
    <row r="21" ht="15" customHeight="1" s="15">
      <c r="A21" s="27" t="inlineStr">
        <is>
          <t>ASSET-17</t>
        </is>
      </c>
      <c r="B21" s="27" t="inlineStr">
        <is>
          <t>X</t>
        </is>
      </c>
      <c r="C21" s="27" t="inlineStr">
        <is>
          <t>Thread</t>
        </is>
      </c>
      <c r="D21" s="27" t="inlineStr">
        <is>
          <t>Industry Insights / AI Tools</t>
        </is>
      </c>
      <c r="E21" s="27" t="inlineStr">
        <is>
          <t>AI video editing in 2026 isn't about replacing editors. It's about eliminating the 80% of repetitive grunt work: 🧵👇</t>
        </is>
      </c>
      <c r="F21" s="27" t="inlineStr">
        <is>
          <t>AI video editing in 2026 isn't about replacing human editors.
It's about eliminating the 80% of repetitive grunt work:
• Silence removal
• Multi-cam speaker switching
• Aspect ratio reframing
• Subtitle timing
Here is a breakdown of the modern AI creator stack and how IncuBrix fits in 🧵👇</t>
        </is>
      </c>
      <c r="G21" s="27" t="inlineStr">
        <is>
          <t>Retweet the first tweet if you found this helpful. Follow @IncuBrix for daily AI creator tips.</t>
        </is>
      </c>
      <c r="H21" s="27" t="inlineStr">
        <is>
          <t>https://incubrix.com/studio?utm_source=x&amp;utm_medium=social&amp;utm_campaign=launch_30&amp;utm_content=asset-17</t>
        </is>
      </c>
      <c r="I21" s="27" t="inlineStr">
        <is>
          <t>https://github.com/Natarajchandrasekaran/incubrix-gtm-social/blob/master/assets/03_text_posts/post_17_x_thread_ai_stack.txt</t>
        </is>
      </c>
      <c r="J21" s="27" t="inlineStr">
        <is>
          <t>https://github.com/Natarajchandrasekaran/incubrix-gtm-social/blob/master/assets/03_text_posts/post_17_x_thread_ai_stack.md</t>
        </is>
      </c>
      <c r="K21" s="27" t="inlineStr">
        <is>
          <t>IncuBrix Product &amp; Creator Master Walkthrough</t>
        </is>
      </c>
      <c r="L21" s="27" t="inlineStr">
        <is>
          <t>IncuBrix Engine + Canva / CapCut</t>
        </is>
      </c>
      <c r="M21" s="27" t="inlineStr">
        <is>
          <t>Yes</t>
        </is>
      </c>
      <c r="N21" s="27" t="inlineStr">
        <is>
          <t>No</t>
        </is>
      </c>
      <c r="O21" s="27" t="inlineStr">
        <is>
          <t>2026-11-05</t>
        </is>
      </c>
      <c r="P21" s="27" t="inlineStr">
        <is>
          <t>https://youtube.com/shorts/placeholder</t>
        </is>
      </c>
      <c r="Q21" s="27" t="n">
        <v>120</v>
      </c>
      <c r="R21" s="27" t="n">
        <v>0.045</v>
      </c>
      <c r="S21" s="27" t="n">
        <v>6</v>
      </c>
      <c r="T21" s="27" t="inlineStr">
        <is>
          <t>Ready</t>
        </is>
      </c>
      <c r="U21" s="27" t="inlineStr">
        <is>
          <t>5-tweet thread with step-by-step breakdown and data points.</t>
        </is>
      </c>
      <c r="V21" s="28">
        <f>IF(A21="","",IF(COUNTIF($A$5:$A$154,A21)&gt;1,"DUPLICATE","UNIQUE"))</f>
        <v/>
      </c>
      <c r="W21" s="28">
        <f>IF(A21="","",IF(T21="Rejected","REJECTED",IF(AND(B21&lt;&gt;"",C21&lt;&gt;"",D21&lt;&gt;"",E21&lt;&gt;"",F21&lt;&gt;"",G21&lt;&gt;"",H21&lt;&gt;"",I21&lt;&gt;"",J21&lt;&gt;"",M21&lt;&gt;"",O21&lt;&gt;"",T21&lt;&gt;""),"COMPLETE","MISSING FIELDS")))</f>
        <v/>
      </c>
    </row>
    <row r="22" ht="15" customHeight="1" s="15">
      <c r="A22" s="27" t="inlineStr">
        <is>
          <t>ASSET-18</t>
        </is>
      </c>
      <c r="B22" s="27" t="inlineStr">
        <is>
          <t>LinkedIn</t>
        </is>
      </c>
      <c r="C22" s="27" t="inlineStr">
        <is>
          <t>Text post</t>
        </is>
      </c>
      <c r="D22" s="27" t="inlineStr">
        <is>
          <t>Industry Insights / AI Tools</t>
        </is>
      </c>
      <c r="E22" s="27" t="inlineStr">
        <is>
          <t>Voice cloning used to take 30 minutes of studio training. Today, IncuBrix does it with a 10-second reference clip.</t>
        </is>
      </c>
      <c r="F22" s="27" t="inlineStr">
        <is>
          <t>Voice cloning used to require 30 minutes of clean studio recording.
Today in IncuBrix, a 10-second audio sample is all it takes to:
• Fix mispronounced words in post-production without re-recording
• Generate personalized video greetings at scale
• Localize your content into 12 languages while keeping your natural voice tone
The future of creator studios is zero re-shoots.</t>
        </is>
      </c>
      <c r="G22" s="27" t="inlineStr">
        <is>
          <t>Explore Voice Cloning in IncuBrix Creator Studio today.</t>
        </is>
      </c>
      <c r="H22" s="27" t="inlineStr">
        <is>
          <t>https://incubrix.com/studio?utm_source=linkedin&amp;utm_medium=social&amp;utm_campaign=launch_30&amp;utm_content=asset-18</t>
        </is>
      </c>
      <c r="I22" s="27" t="inlineStr">
        <is>
          <t>https://github.com/Natarajchandrasekaran/incubrix-gtm-social/blob/master/assets/03_text_posts/post_18_voice_cloning_shift.txt</t>
        </is>
      </c>
      <c r="J22" s="27" t="inlineStr">
        <is>
          <t>https://github.com/Natarajchandrasekaran/incubrix-gtm-social/blob/master/assets/03_text_posts/post_18_voice_cloning_shift.md</t>
        </is>
      </c>
      <c r="K22" s="27" t="inlineStr">
        <is>
          <t>IncuBrix Product &amp; Creator Master Walkthrough</t>
        </is>
      </c>
      <c r="L22" s="27" t="inlineStr">
        <is>
          <t>IncuBrix Engine + Canva / CapCut</t>
        </is>
      </c>
      <c r="M22" s="27" t="inlineStr">
        <is>
          <t>Yes</t>
        </is>
      </c>
      <c r="N22" s="27" t="inlineStr">
        <is>
          <t>No</t>
        </is>
      </c>
      <c r="O22" s="27" t="inlineStr">
        <is>
          <t>2026-11-06</t>
        </is>
      </c>
      <c r="P22" s="27" t="inlineStr">
        <is>
          <t>https://linkedin.com/feed/update/urn:li:activity:placeholder</t>
        </is>
      </c>
      <c r="Q22" s="27" t="n">
        <v>120</v>
      </c>
      <c r="R22" s="27" t="n">
        <v>0.045</v>
      </c>
      <c r="S22" s="27" t="n">
        <v>6</v>
      </c>
      <c r="T22" s="27" t="inlineStr">
        <is>
          <t>Ready</t>
        </is>
      </c>
      <c r="U22" s="27" t="inlineStr">
        <is>
          <t>Thought leadership post highlighting enterprise and creator efficiency.</t>
        </is>
      </c>
      <c r="V22" s="28">
        <f>IF(A22="","",IF(COUNTIF($A$5:$A$154,A22)&gt;1,"DUPLICATE","UNIQUE"))</f>
        <v/>
      </c>
      <c r="W22" s="28">
        <f>IF(A22="","",IF(T22="Rejected","REJECTED",IF(AND(B22&lt;&gt;"",C22&lt;&gt;"",D22&lt;&gt;"",E22&lt;&gt;"",F22&lt;&gt;"",G22&lt;&gt;"",H22&lt;&gt;"",I22&lt;&gt;"",J22&lt;&gt;"",M22&lt;&gt;"",O22&lt;&gt;"",T22&lt;&gt;""),"COMPLETE","MISSING FIELDS")))</f>
        <v/>
      </c>
    </row>
    <row r="23" ht="15" customHeight="1" s="15">
      <c r="A23" s="27" t="inlineStr">
        <is>
          <t>ASSET-19</t>
        </is>
      </c>
      <c r="B23" s="27" t="inlineStr">
        <is>
          <t>X</t>
        </is>
      </c>
      <c r="C23" s="27" t="inlineStr">
        <is>
          <t>Text post</t>
        </is>
      </c>
      <c r="D23" s="27" t="inlineStr">
        <is>
          <t>Founder / Behind the Scenes</t>
        </is>
      </c>
      <c r="E23" s="27" t="inlineStr">
        <is>
          <t>We tested 1,000 AI-generated video titles across 5 creator niches. Here is what actually drove clicks:</t>
        </is>
      </c>
      <c r="F23" s="27" t="inlineStr">
        <is>
          <t>We tested 1,000 AI-generated video titles across 5 creator niches.
The top 3 patterns that drove 42% higher CTR:
1. Specificity &gt; Hype ('Cut video in 3 steps' beats 'Insane new AI trick')
2. Direct audience callout ('For solo founders')
3. Immediate benefit before the comma
Which title formula works best for your audience?</t>
        </is>
      </c>
      <c r="G23" s="27" t="inlineStr">
        <is>
          <t>Reply with your channel link and we'll analyze your top 3 hooks.</t>
        </is>
      </c>
      <c r="H23" s="27" t="inlineStr">
        <is>
          <t>https://incubrix.com/studio?utm_source=x&amp;utm_medium=social&amp;utm_campaign=launch_30&amp;utm_content=asset-19</t>
        </is>
      </c>
      <c r="I23" s="27" t="inlineStr">
        <is>
          <t>https://github.com/Natarajchandrasekaran/incubrix-gtm-social/blob/master/assets/03_text_posts/post_19_title_ctr_data.txt</t>
        </is>
      </c>
      <c r="J23" s="27" t="inlineStr">
        <is>
          <t>https://github.com/Natarajchandrasekaran/incubrix-gtm-social/blob/master/assets/03_text_posts/post_19_title_ctr_data.md</t>
        </is>
      </c>
      <c r="K23" s="27" t="inlineStr">
        <is>
          <t>IncuBrix Product &amp; Creator Master Walkthrough</t>
        </is>
      </c>
      <c r="L23" s="27" t="inlineStr">
        <is>
          <t>IncuBrix Engine + Canva / CapCut</t>
        </is>
      </c>
      <c r="M23" s="27" t="inlineStr">
        <is>
          <t>Yes</t>
        </is>
      </c>
      <c r="N23" s="27" t="inlineStr">
        <is>
          <t>No</t>
        </is>
      </c>
      <c r="O23" s="27" t="inlineStr">
        <is>
          <t>2026-11-07</t>
        </is>
      </c>
      <c r="P23" s="27" t="inlineStr">
        <is>
          <t>https://youtube.com/shorts/placeholder</t>
        </is>
      </c>
      <c r="Q23" s="27" t="n">
        <v>120</v>
      </c>
      <c r="R23" s="27" t="n">
        <v>0.045</v>
      </c>
      <c r="S23" s="27" t="n">
        <v>6</v>
      </c>
      <c r="T23" s="27" t="inlineStr">
        <is>
          <t>Ready</t>
        </is>
      </c>
      <c r="U23" s="27" t="inlineStr">
        <is>
          <t>Engagement prompt designed to spark creator discussion.</t>
        </is>
      </c>
      <c r="V23" s="28">
        <f>IF(A23="","",IF(COUNTIF($A$5:$A$154,A23)&gt;1,"DUPLICATE","UNIQUE"))</f>
        <v/>
      </c>
      <c r="W23" s="28">
        <f>IF(A23="","",IF(T23="Rejected","REJECTED",IF(AND(B23&lt;&gt;"",C23&lt;&gt;"",D23&lt;&gt;"",E23&lt;&gt;"",F23&lt;&gt;"",G23&lt;&gt;"",H23&lt;&gt;"",I23&lt;&gt;"",J23&lt;&gt;"",M23&lt;&gt;"",O23&lt;&gt;"",T23&lt;&gt;""),"COMPLETE","MISSING FIELDS")))</f>
        <v/>
      </c>
    </row>
    <row r="24" ht="15" customHeight="1" s="15">
      <c r="A24" s="27" t="inlineStr">
        <is>
          <t>ASSET-20</t>
        </is>
      </c>
      <c r="B24" s="27" t="inlineStr">
        <is>
          <t>LinkedIn</t>
        </is>
      </c>
      <c r="C24" s="27" t="inlineStr">
        <is>
          <t>Text post</t>
        </is>
      </c>
      <c r="D24" s="27" t="inlineStr">
        <is>
          <t>Product Demo / How-To</t>
        </is>
      </c>
      <c r="E24" s="27" t="inlineStr">
        <is>
          <t>The single most under-utilized feature in IncuBrix Creator Studio: Content Insights.</t>
        </is>
      </c>
      <c r="F24" s="27" t="inlineStr">
        <is>
          <t>Most creators jump straight to video editing.
Smart creators start with Content Insights:
• Discover what topics are gaining velocity in your niche
• Identify questions your target audience is asking on Reddit &amp; YouTube
• Generate script outlines based on search intent before pressing record
Don't guess what to film. Let data dictate your production calendar.</t>
        </is>
      </c>
      <c r="G24" s="27" t="inlineStr">
        <is>
          <t>Log in to app.incubrix.com and check your niche insights today.</t>
        </is>
      </c>
      <c r="H24" s="27" t="inlineStr">
        <is>
          <t>https://incubrix.com/studio?utm_source=linkedin&amp;utm_medium=social&amp;utm_campaign=launch_30&amp;utm_content=asset-20</t>
        </is>
      </c>
      <c r="I24" s="27" t="inlineStr">
        <is>
          <t>https://github.com/Natarajchandrasekaran/incubrix-gtm-social/blob/master/assets/03_text_posts/post_20_content_insights.txt</t>
        </is>
      </c>
      <c r="J24" s="27" t="inlineStr">
        <is>
          <t>https://github.com/Natarajchandrasekaran/incubrix-gtm-social/blob/master/assets/03_text_posts/post_20_content_insights.md</t>
        </is>
      </c>
      <c r="K24" s="27" t="inlineStr">
        <is>
          <t>IncuBrix Product &amp; Creator Master Walkthrough</t>
        </is>
      </c>
      <c r="L24" s="27" t="inlineStr">
        <is>
          <t>IncuBrix Engine + Canva / CapCut</t>
        </is>
      </c>
      <c r="M24" s="27" t="inlineStr">
        <is>
          <t>Yes</t>
        </is>
      </c>
      <c r="N24" s="27" t="inlineStr">
        <is>
          <t>No</t>
        </is>
      </c>
      <c r="O24" s="27" t="inlineStr">
        <is>
          <t>2026-11-08</t>
        </is>
      </c>
      <c r="P24" s="27" t="inlineStr">
        <is>
          <t>https://linkedin.com/feed/update/urn:li:activity:placeholder</t>
        </is>
      </c>
      <c r="Q24" s="27" t="n">
        <v>120</v>
      </c>
      <c r="R24" s="27" t="n">
        <v>0.045</v>
      </c>
      <c r="S24" s="27" t="n">
        <v>6</v>
      </c>
      <c r="T24" s="27" t="inlineStr">
        <is>
          <t>Ready</t>
        </is>
      </c>
      <c r="U24" s="27" t="inlineStr">
        <is>
          <t>Actionable product feature spotlight with clear workflow context.</t>
        </is>
      </c>
      <c r="V24" s="28">
        <f>IF(A24="","",IF(COUNTIF($A$5:$A$154,A24)&gt;1,"DUPLICATE","UNIQUE"))</f>
        <v/>
      </c>
      <c r="W24" s="28">
        <f>IF(A24="","",IF(T24="Rejected","REJECTED",IF(AND(B24&lt;&gt;"",C24&lt;&gt;"",D24&lt;&gt;"",E24&lt;&gt;"",F24&lt;&gt;"",G24&lt;&gt;"",H24&lt;&gt;"",I24&lt;&gt;"",J24&lt;&gt;"",M24&lt;&gt;"",O24&lt;&gt;"",T24&lt;&gt;""),"COMPLETE","MISSING FIELDS")))</f>
        <v/>
      </c>
    </row>
    <row r="25" ht="15" customHeight="1" s="15">
      <c r="A25" s="27" t="inlineStr">
        <is>
          <t>ASSET-21</t>
        </is>
      </c>
      <c r="B25" s="27" t="inlineStr">
        <is>
          <t>X</t>
        </is>
      </c>
      <c r="C25" s="27" t="inlineStr">
        <is>
          <t>Thread</t>
        </is>
      </c>
      <c r="D25" s="27" t="inlineStr">
        <is>
          <t>Creator Growth / Strategy</t>
        </is>
      </c>
      <c r="E25" s="27" t="inlineStr">
        <is>
          <t>How to build a personal media brand as a software engineer in 2026 (without spending 20 hours a week): 🧵</t>
        </is>
      </c>
      <c r="F25" s="27" t="inlineStr">
        <is>
          <t>How to build a personal media brand as a software engineer in 2026 (without spending 20 hours a week):
1. Document your debugging sessions on Loom
2. Run the recording through IncuBrix to generate 3 short clips
3. Extract key architecture principles into X threads
4. Cross-post to LinkedIn with code diffs
Here is the exact playbook 🧵👇</t>
        </is>
      </c>
      <c r="G25" s="27" t="inlineStr">
        <is>
          <t>Bookmark this thread. Which engineering topic will you share first?</t>
        </is>
      </c>
      <c r="H25" s="27" t="inlineStr">
        <is>
          <t>https://incubrix.com/studio?utm_source=x&amp;utm_medium=social&amp;utm_campaign=launch_30&amp;utm_content=asset-21</t>
        </is>
      </c>
      <c r="I25" s="27" t="inlineStr">
        <is>
          <t>https://github.com/Natarajchandrasekaran/incubrix-gtm-social/blob/master/assets/03_text_posts/post_21_engineer_branding_thread.txt</t>
        </is>
      </c>
      <c r="J25" s="27" t="inlineStr">
        <is>
          <t>https://github.com/Natarajchandrasekaran/incubrix-gtm-social/blob/master/assets/03_text_posts/post_21_engineer_branding_thread.md</t>
        </is>
      </c>
      <c r="K25" s="27" t="inlineStr">
        <is>
          <t>IncuBrix Product &amp; Creator Master Walkthrough</t>
        </is>
      </c>
      <c r="L25" s="27" t="inlineStr">
        <is>
          <t>IncuBrix Engine + Canva / CapCut</t>
        </is>
      </c>
      <c r="M25" s="27" t="inlineStr">
        <is>
          <t>Yes</t>
        </is>
      </c>
      <c r="N25" s="27" t="inlineStr">
        <is>
          <t>No</t>
        </is>
      </c>
      <c r="O25" s="27" t="inlineStr">
        <is>
          <t>2026-11-09</t>
        </is>
      </c>
      <c r="P25" s="27" t="inlineStr">
        <is>
          <t>https://youtube.com/shorts/placeholder</t>
        </is>
      </c>
      <c r="Q25" s="27" t="n">
        <v>120</v>
      </c>
      <c r="R25" s="27" t="n">
        <v>0.045</v>
      </c>
      <c r="S25" s="27" t="n">
        <v>6</v>
      </c>
      <c r="T25" s="27" t="inlineStr">
        <is>
          <t>Ready</t>
        </is>
      </c>
      <c r="U25" s="27" t="inlineStr">
        <is>
          <t>Targeted specifically at developer and technical founder personas.</t>
        </is>
      </c>
      <c r="V25" s="28">
        <f>IF(A25="","",IF(COUNTIF($A$5:$A$154,A25)&gt;1,"DUPLICATE","UNIQUE"))</f>
        <v/>
      </c>
      <c r="W25" s="28">
        <f>IF(A25="","",IF(T25="Rejected","REJECTED",IF(AND(B25&lt;&gt;"",C25&lt;&gt;"",D25&lt;&gt;"",E25&lt;&gt;"",F25&lt;&gt;"",G25&lt;&gt;"",H25&lt;&gt;"",I25&lt;&gt;"",J25&lt;&gt;"",M25&lt;&gt;"",O25&lt;&gt;"",T25&lt;&gt;""),"COMPLETE","MISSING FIELDS")))</f>
        <v/>
      </c>
    </row>
    <row r="26" ht="15" customHeight="1" s="15">
      <c r="A26" s="27" t="inlineStr">
        <is>
          <t>ASSET-22</t>
        </is>
      </c>
      <c r="B26" s="27" t="inlineStr">
        <is>
          <t>LinkedIn</t>
        </is>
      </c>
      <c r="C26" s="27" t="inlineStr">
        <is>
          <t>Text post</t>
        </is>
      </c>
      <c r="D26" s="27" t="inlineStr">
        <is>
          <t>Creator Growth / Strategy</t>
        </is>
      </c>
      <c r="E26" s="27" t="inlineStr">
        <is>
          <t>Why repurposing content is the highest-ROI growth strategy for bootstrapped startups.</t>
        </is>
      </c>
      <c r="F26" s="27" t="inlineStr">
        <is>
          <t>Customer acquisition cost (CAC) on paid ads jumped 35% this year.
Meanwhile, organic content repurposing delivers compounding organic reach at ₹0 ad spend.
If you have:
• Customer interview calls
• Product demos
• Team all-hands
• Webinar recordings
You are sitting on months of marketing assets. You just need an automated pipeline to extract them.</t>
        </is>
      </c>
      <c r="G26" s="27" t="inlineStr">
        <is>
          <t>Read our full bootstrapped growth guide in the comments.</t>
        </is>
      </c>
      <c r="H26" s="27" t="inlineStr">
        <is>
          <t>https://incubrix.com/studio?utm_source=linkedin&amp;utm_medium=social&amp;utm_campaign=launch_30&amp;utm_content=asset-22</t>
        </is>
      </c>
      <c r="I26" s="27" t="inlineStr">
        <is>
          <t>https://github.com/Natarajchandrasekaran/incubrix-gtm-social/blob/master/assets/03_text_posts/post_22_bootstrapped_roi.txt</t>
        </is>
      </c>
      <c r="J26" s="27" t="inlineStr">
        <is>
          <t>https://github.com/Natarajchandrasekaran/incubrix-gtm-social/blob/master/assets/03_text_posts/post_22_bootstrapped_roi.md</t>
        </is>
      </c>
      <c r="K26" s="27" t="inlineStr">
        <is>
          <t>IncuBrix Product &amp; Creator Master Walkthrough</t>
        </is>
      </c>
      <c r="L26" s="27" t="inlineStr">
        <is>
          <t>IncuBrix Engine + Canva / CapCut</t>
        </is>
      </c>
      <c r="M26" s="27" t="inlineStr">
        <is>
          <t>Yes</t>
        </is>
      </c>
      <c r="N26" s="27" t="inlineStr">
        <is>
          <t>No</t>
        </is>
      </c>
      <c r="O26" s="27" t="inlineStr">
        <is>
          <t>2026-11-10</t>
        </is>
      </c>
      <c r="P26" s="27" t="inlineStr">
        <is>
          <t>https://linkedin.com/feed/update/urn:li:activity:placeholder</t>
        </is>
      </c>
      <c r="Q26" s="27" t="n">
        <v>120</v>
      </c>
      <c r="R26" s="27" t="n">
        <v>0.045</v>
      </c>
      <c r="S26" s="27" t="n">
        <v>6</v>
      </c>
      <c r="T26" s="27" t="inlineStr">
        <is>
          <t>Ready</t>
        </is>
      </c>
      <c r="U26" s="27" t="inlineStr">
        <is>
          <t>Economic framing connecting content engine directly to startup CAC reduction.</t>
        </is>
      </c>
      <c r="V26" s="28">
        <f>IF(A26="","",IF(COUNTIF($A$5:$A$154,A26)&gt;1,"DUPLICATE","UNIQUE"))</f>
        <v/>
      </c>
      <c r="W26" s="28">
        <f>IF(A26="","",IF(T26="Rejected","REJECTED",IF(AND(B26&lt;&gt;"",C26&lt;&gt;"",D26&lt;&gt;"",E26&lt;&gt;"",F26&lt;&gt;"",G26&lt;&gt;"",H26&lt;&gt;"",I26&lt;&gt;"",J26&lt;&gt;"",M26&lt;&gt;"",O26&lt;&gt;"",T26&lt;&gt;""),"COMPLETE","MISSING FIELDS")))</f>
        <v/>
      </c>
    </row>
    <row r="27" ht="15" customHeight="1" s="15">
      <c r="A27" s="27" t="inlineStr">
        <is>
          <t>ASSET-23</t>
        </is>
      </c>
      <c r="B27" s="27" t="inlineStr">
        <is>
          <t>X</t>
        </is>
      </c>
      <c r="C27" s="27" t="inlineStr">
        <is>
          <t>Text post</t>
        </is>
      </c>
      <c r="D27" s="27" t="inlineStr">
        <is>
          <t>Industry Insights / AI Tools</t>
        </is>
      </c>
      <c r="E27" s="27" t="inlineStr">
        <is>
          <t>The biggest misconception about AI video avatars: 'They look robotic and fake.'</t>
        </is>
      </c>
      <c r="F27" s="27" t="inlineStr">
        <is>
          <t>The biggest misconception about AI video avatars: 'They look robotic and fake.'
In 2024? Yes.
In 2026? Sub-pixel micro-expressions and eye contact correction make them indistinguishable in short-form video.
Check out the side-by-side comparison in IncuBrix Creator Studio.</t>
        </is>
      </c>
      <c r="G27" s="27" t="inlineStr">
        <is>
          <t>Test custom avatar generation at incubrix.com/studio.</t>
        </is>
      </c>
      <c r="H27" s="27" t="inlineStr">
        <is>
          <t>https://incubrix.com/studio?utm_source=x&amp;utm_medium=social&amp;utm_campaign=launch_30&amp;utm_content=asset-23</t>
        </is>
      </c>
      <c r="I27" s="27" t="inlineStr">
        <is>
          <t>https://github.com/Natarajchandrasekaran/incubrix-gtm-social/blob/master/assets/03_text_posts/post_23_avatar_realism.txt</t>
        </is>
      </c>
      <c r="J27" s="27" t="inlineStr">
        <is>
          <t>https://github.com/Natarajchandrasekaran/incubrix-gtm-social/blob/master/assets/03_text_posts/post_23_avatar_realism.md</t>
        </is>
      </c>
      <c r="K27" s="27" t="inlineStr">
        <is>
          <t>IncuBrix Product &amp; Creator Master Walkthrough</t>
        </is>
      </c>
      <c r="L27" s="27" t="inlineStr">
        <is>
          <t>IncuBrix Engine + Canva / CapCut</t>
        </is>
      </c>
      <c r="M27" s="27" t="inlineStr">
        <is>
          <t>Yes</t>
        </is>
      </c>
      <c r="N27" s="27" t="inlineStr">
        <is>
          <t>No</t>
        </is>
      </c>
      <c r="O27" s="27" t="inlineStr">
        <is>
          <t>2026-11-11</t>
        </is>
      </c>
      <c r="P27" s="27" t="inlineStr">
        <is>
          <t>https://youtube.com/shorts/placeholder</t>
        </is>
      </c>
      <c r="Q27" s="27" t="n">
        <v>120</v>
      </c>
      <c r="R27" s="27" t="n">
        <v>0.045</v>
      </c>
      <c r="S27" s="27" t="n">
        <v>6</v>
      </c>
      <c r="T27" s="27" t="inlineStr">
        <is>
          <t>Ready</t>
        </is>
      </c>
      <c r="U27" s="27" t="inlineStr">
        <is>
          <t>Contrarian industry insight dismantling outdated creator assumptions.</t>
        </is>
      </c>
      <c r="V27" s="28">
        <f>IF(A27="","",IF(COUNTIF($A$5:$A$154,A27)&gt;1,"DUPLICATE","UNIQUE"))</f>
        <v/>
      </c>
      <c r="W27" s="28">
        <f>IF(A27="","",IF(T27="Rejected","REJECTED",IF(AND(B27&lt;&gt;"",C27&lt;&gt;"",D27&lt;&gt;"",E27&lt;&gt;"",F27&lt;&gt;"",G27&lt;&gt;"",H27&lt;&gt;"",I27&lt;&gt;"",J27&lt;&gt;"",M27&lt;&gt;"",O27&lt;&gt;"",T27&lt;&gt;""),"COMPLETE","MISSING FIELDS")))</f>
        <v/>
      </c>
    </row>
    <row r="28" ht="15" customHeight="1" s="15">
      <c r="A28" s="27" t="inlineStr">
        <is>
          <t>ASSET-24</t>
        </is>
      </c>
      <c r="B28" s="27" t="inlineStr">
        <is>
          <t>LinkedIn</t>
        </is>
      </c>
      <c r="C28" s="27" t="inlineStr">
        <is>
          <t>Text post</t>
        </is>
      </c>
      <c r="D28" s="27" t="inlineStr">
        <is>
          <t>Founder / Behind the Scenes</t>
        </is>
      </c>
      <c r="E28" s="27" t="inlineStr">
        <is>
          <t>What we learned moving from Singapore to building an engineering hub in Tiruchirappalli, India.</t>
        </is>
      </c>
      <c r="F28" s="27" t="inlineStr">
        <is>
          <t>IncuBrix started in Singapore. Today, our engineering operations in Tiruchirappalli power core AI infrastructure.
Building globally means:
1. Tapping exceptional technical talent across top Indian institutions (PSG Tech, NIT Trichy)
2. Operating with 24/7 development momentum
3. Delivering world-class creator software at competitive pricing
Talent is universal. Opportunity is what we create.</t>
        </is>
      </c>
      <c r="G28" s="27" t="inlineStr">
        <is>
          <t>We are hiring 2027 graduates! Visit our careers page linked below.</t>
        </is>
      </c>
      <c r="H28" s="27" t="inlineStr">
        <is>
          <t>https://incubrix.com/studio?utm_source=linkedin&amp;utm_medium=social&amp;utm_campaign=launch_30&amp;utm_content=asset-24</t>
        </is>
      </c>
      <c r="I28" s="27" t="inlineStr">
        <is>
          <t>https://github.com/Natarajchandrasekaran/incubrix-gtm-social/blob/master/assets/03_text_posts/post_24_singapore_trichy.txt</t>
        </is>
      </c>
      <c r="J28" s="27" t="inlineStr">
        <is>
          <t>https://github.com/Natarajchandrasekaran/incubrix-gtm-social/blob/master/assets/03_text_posts/post_24_singapore_trichy.md</t>
        </is>
      </c>
      <c r="K28" s="27" t="inlineStr">
        <is>
          <t>IncuBrix Product &amp; Creator Master Walkthrough</t>
        </is>
      </c>
      <c r="L28" s="27" t="inlineStr">
        <is>
          <t>IncuBrix Engine + Canva / CapCut</t>
        </is>
      </c>
      <c r="M28" s="27" t="inlineStr">
        <is>
          <t>Yes</t>
        </is>
      </c>
      <c r="N28" s="27" t="inlineStr">
        <is>
          <t>No</t>
        </is>
      </c>
      <c r="O28" s="27" t="inlineStr">
        <is>
          <t>2026-11-12</t>
        </is>
      </c>
      <c r="P28" s="27" t="inlineStr">
        <is>
          <t>https://linkedin.com/feed/update/urn:li:activity:placeholder</t>
        </is>
      </c>
      <c r="Q28" s="27" t="n">
        <v>120</v>
      </c>
      <c r="R28" s="27" t="n">
        <v>0.045</v>
      </c>
      <c r="S28" s="27" t="n">
        <v>6</v>
      </c>
      <c r="T28" s="27" t="inlineStr">
        <is>
          <t>Ready</t>
        </is>
      </c>
      <c r="U28" s="27" t="inlineStr">
        <is>
          <t>Culture and talent post linking IncuBrix Singapore HQ and Tamil Nadu operations.</t>
        </is>
      </c>
      <c r="V28" s="28">
        <f>IF(A28="","",IF(COUNTIF($A$5:$A$154,A28)&gt;1,"DUPLICATE","UNIQUE"))</f>
        <v/>
      </c>
      <c r="W28" s="28">
        <f>IF(A28="","",IF(T28="Rejected","REJECTED",IF(AND(B28&lt;&gt;"",C28&lt;&gt;"",D28&lt;&gt;"",E28&lt;&gt;"",F28&lt;&gt;"",G28&lt;&gt;"",H28&lt;&gt;"",I28&lt;&gt;"",J28&lt;&gt;"",M28&lt;&gt;"",O28&lt;&gt;"",T28&lt;&gt;""),"COMPLETE","MISSING FIELDS")))</f>
        <v/>
      </c>
    </row>
    <row r="29" ht="15" customHeight="1" s="15">
      <c r="A29" s="27" t="inlineStr">
        <is>
          <t>ASSET-25</t>
        </is>
      </c>
      <c r="B29" s="27" t="inlineStr">
        <is>
          <t>X</t>
        </is>
      </c>
      <c r="C29" s="27" t="inlineStr">
        <is>
          <t>Text post</t>
        </is>
      </c>
      <c r="D29" s="27" t="inlineStr">
        <is>
          <t>Creator Growth / Strategy</t>
        </is>
      </c>
      <c r="E29" s="27" t="inlineStr">
        <is>
          <t>The 'Rule of 3' for short-form retention: Hook, Value, Twist.</t>
        </is>
      </c>
      <c r="F29" s="27" t="inlineStr">
        <is>
          <t>The 'Rule of 3' for short-form retention:
1. Hook: Interrupt scroll with unexpected problem (0-3s)
2. Value: Give actionable solution without fluff (4-40s)
3. Twist: Loop back to hook or provide contrarian takeaway (41-55s)
Master this formula and your video completion rate will double.</t>
        </is>
      </c>
      <c r="G29" s="27" t="inlineStr">
        <is>
          <t>Save this formula. What is your go-to hook formula?</t>
        </is>
      </c>
      <c r="H29" s="27" t="inlineStr">
        <is>
          <t>https://incubrix.com/studio?utm_source=x&amp;utm_medium=social&amp;utm_campaign=launch_30&amp;utm_content=asset-25</t>
        </is>
      </c>
      <c r="I29" s="27" t="inlineStr">
        <is>
          <t>https://github.com/Natarajchandrasekaran/incubrix-gtm-social/blob/master/assets/03_text_posts/post_25_rule_of_three.txt</t>
        </is>
      </c>
      <c r="J29" s="27" t="inlineStr">
        <is>
          <t>https://github.com/Natarajchandrasekaran/incubrix-gtm-social/blob/master/assets/03_text_posts/post_25_rule_of_three.md</t>
        </is>
      </c>
      <c r="K29" s="27" t="inlineStr">
        <is>
          <t>IncuBrix Product &amp; Creator Master Walkthrough</t>
        </is>
      </c>
      <c r="L29" s="27" t="inlineStr">
        <is>
          <t>IncuBrix Engine + Canva / CapCut</t>
        </is>
      </c>
      <c r="M29" s="27" t="inlineStr">
        <is>
          <t>Yes</t>
        </is>
      </c>
      <c r="N29" s="27" t="inlineStr">
        <is>
          <t>No</t>
        </is>
      </c>
      <c r="O29" s="27" t="inlineStr">
        <is>
          <t>2026-11-13</t>
        </is>
      </c>
      <c r="P29" s="27" t="inlineStr">
        <is>
          <t>https://youtube.com/shorts/placeholder</t>
        </is>
      </c>
      <c r="Q29" s="27" t="n">
        <v>120</v>
      </c>
      <c r="R29" s="27" t="n">
        <v>0.045</v>
      </c>
      <c r="S29" s="27" t="n">
        <v>6</v>
      </c>
      <c r="T29" s="27" t="inlineStr">
        <is>
          <t>Ready</t>
        </is>
      </c>
      <c r="U29" s="27" t="inlineStr">
        <is>
          <t>Quick tactical tip optimized for retweets and bookmarks.</t>
        </is>
      </c>
      <c r="V29" s="28">
        <f>IF(A29="","",IF(COUNTIF($A$5:$A$154,A29)&gt;1,"DUPLICATE","UNIQUE"))</f>
        <v/>
      </c>
      <c r="W29" s="28">
        <f>IF(A29="","",IF(T29="Rejected","REJECTED",IF(AND(B29&lt;&gt;"",C29&lt;&gt;"",D29&lt;&gt;"",E29&lt;&gt;"",F29&lt;&gt;"",G29&lt;&gt;"",H29&lt;&gt;"",I29&lt;&gt;"",J29&lt;&gt;"",M29&lt;&gt;"",O29&lt;&gt;"",T29&lt;&gt;""),"COMPLETE","MISSING FIELDS")))</f>
        <v/>
      </c>
    </row>
    <row r="30" ht="15" customHeight="1" s="15">
      <c r="A30" s="27" t="inlineStr">
        <is>
          <t>ASSET-26</t>
        </is>
      </c>
      <c r="B30" s="27" t="inlineStr">
        <is>
          <t>LinkedIn</t>
        </is>
      </c>
      <c r="C30" s="27" t="inlineStr">
        <is>
          <t>Text post</t>
        </is>
      </c>
      <c r="D30" s="27" t="inlineStr">
        <is>
          <t>Product Demo / How-To</t>
        </is>
      </c>
      <c r="E30" s="27" t="inlineStr">
        <is>
          <t>Why we added Bluesky and Spotify to our native multi-publishing engine.</t>
        </is>
      </c>
      <c r="F30" s="27" t="inlineStr">
        <is>
          <t>Most social management tools only support the 'Big 3' (YouTube, LinkedIn, Instagram).
IncuBrix added native publishing to Bluesky and Spotify Video Podcasts because open distribution networks are expanding faster than walled gardens.
Don't limit your content to yesterday's platforms. Own your audience everywhere.</t>
        </is>
      </c>
      <c r="G30" s="27" t="inlineStr">
        <is>
          <t>Connect your social channels in IncuBrix Creator Studio in under 2 minutes.</t>
        </is>
      </c>
      <c r="H30" s="27" t="inlineStr">
        <is>
          <t>https://incubrix.com/studio?utm_source=linkedin&amp;utm_medium=social&amp;utm_campaign=launch_30&amp;utm_content=asset-26</t>
        </is>
      </c>
      <c r="I30" s="27" t="inlineStr">
        <is>
          <t>https://github.com/Natarajchandrasekaran/incubrix-gtm-social/blob/master/assets/03_text_posts/post_26_bluesky_spotify.txt</t>
        </is>
      </c>
      <c r="J30" s="27" t="inlineStr">
        <is>
          <t>https://github.com/Natarajchandrasekaran/incubrix-gtm-social/blob/master/assets/03_text_posts/post_26_bluesky_spotify.md</t>
        </is>
      </c>
      <c r="K30" s="27" t="inlineStr">
        <is>
          <t>IncuBrix Product &amp; Creator Master Walkthrough</t>
        </is>
      </c>
      <c r="L30" s="27" t="inlineStr">
        <is>
          <t>IncuBrix Engine + Canva / CapCut</t>
        </is>
      </c>
      <c r="M30" s="27" t="inlineStr">
        <is>
          <t>Yes</t>
        </is>
      </c>
      <c r="N30" s="27" t="inlineStr">
        <is>
          <t>No</t>
        </is>
      </c>
      <c r="O30" s="27" t="inlineStr">
        <is>
          <t>2026-11-14</t>
        </is>
      </c>
      <c r="P30" s="27" t="inlineStr">
        <is>
          <t>https://linkedin.com/feed/update/urn:li:activity:placeholder</t>
        </is>
      </c>
      <c r="Q30" s="27" t="n">
        <v>120</v>
      </c>
      <c r="R30" s="27" t="n">
        <v>0.045</v>
      </c>
      <c r="S30" s="27" t="n">
        <v>6</v>
      </c>
      <c r="T30" s="27" t="inlineStr">
        <is>
          <t>Ready</t>
        </is>
      </c>
      <c r="U30" s="27" t="inlineStr">
        <is>
          <t>Platform differentiator post demonstrating product foresight.</t>
        </is>
      </c>
      <c r="V30" s="28">
        <f>IF(A30="","",IF(COUNTIF($A$5:$A$154,A30)&gt;1,"DUPLICATE","UNIQUE"))</f>
        <v/>
      </c>
      <c r="W30" s="28">
        <f>IF(A30="","",IF(T30="Rejected","REJECTED",IF(AND(B30&lt;&gt;"",C30&lt;&gt;"",D30&lt;&gt;"",E30&lt;&gt;"",F30&lt;&gt;"",G30&lt;&gt;"",H30&lt;&gt;"",I30&lt;&gt;"",J30&lt;&gt;"",M30&lt;&gt;"",O30&lt;&gt;"",T30&lt;&gt;""),"COMPLETE","MISSING FIELDS")))</f>
        <v/>
      </c>
    </row>
    <row r="31" ht="15" customHeight="1" s="15">
      <c r="A31" s="27" t="inlineStr">
        <is>
          <t>ASSET-27</t>
        </is>
      </c>
      <c r="B31" s="27" t="inlineStr">
        <is>
          <t>X</t>
        </is>
      </c>
      <c r="C31" s="27" t="inlineStr">
        <is>
          <t>Thread</t>
        </is>
      </c>
      <c r="D31" s="27" t="inlineStr">
        <is>
          <t>Founder / Behind the Scenes</t>
        </is>
      </c>
      <c r="E31" s="27" t="inlineStr">
        <is>
          <t>Building an AI video engine that processes 1 hour of 4K video in 3 minutes: The engineering challenges we solved 🧵</t>
        </is>
      </c>
      <c r="F31" s="27" t="inlineStr">
        <is>
          <t>Building an AI video engine that processes 1 hour of 4K video in 3 minutes: The engineering challenges we solved 🧵
1. Distributed chunked rendering with FFmpeg
2. WebAssembly audio normalization in the browser
3. GPU memory management for multi-tenant inference
Here's an inside look at our architecture 🧵👇</t>
        </is>
      </c>
      <c r="G31" s="27" t="inlineStr">
        <is>
          <t>Follow for more technical deep dives from the IncuBrix engineering team.</t>
        </is>
      </c>
      <c r="H31" s="27" t="inlineStr">
        <is>
          <t>https://incubrix.com/studio?utm_source=x&amp;utm_medium=social&amp;utm_campaign=launch_30&amp;utm_content=asset-27</t>
        </is>
      </c>
      <c r="I31" s="27" t="inlineStr">
        <is>
          <t>https://github.com/Natarajchandrasekaran/incubrix-gtm-social/blob/master/assets/03_text_posts/post_27_engineering_deepdive.txt</t>
        </is>
      </c>
      <c r="J31" s="27" t="inlineStr">
        <is>
          <t>https://github.com/Natarajchandrasekaran/incubrix-gtm-social/blob/master/assets/03_text_posts/post_27_engineering_deepdive.md</t>
        </is>
      </c>
      <c r="K31" s="27" t="inlineStr">
        <is>
          <t>IncuBrix Product &amp; Creator Master Walkthrough</t>
        </is>
      </c>
      <c r="L31" s="27" t="inlineStr">
        <is>
          <t>IncuBrix Engine + Canva / CapCut</t>
        </is>
      </c>
      <c r="M31" s="27" t="inlineStr">
        <is>
          <t>Yes</t>
        </is>
      </c>
      <c r="N31" s="27" t="inlineStr">
        <is>
          <t>No</t>
        </is>
      </c>
      <c r="O31" s="27" t="inlineStr">
        <is>
          <t>2026-11-15</t>
        </is>
      </c>
      <c r="P31" s="27" t="inlineStr">
        <is>
          <t>https://youtube.com/shorts/placeholder</t>
        </is>
      </c>
      <c r="Q31" s="27" t="n">
        <v>120</v>
      </c>
      <c r="R31" s="27" t="n">
        <v>0.045</v>
      </c>
      <c r="S31" s="27" t="n">
        <v>6</v>
      </c>
      <c r="T31" s="27" t="inlineStr">
        <is>
          <t>Ready</t>
        </is>
      </c>
      <c r="U31" s="27" t="inlineStr">
        <is>
          <t>Deep technical thread appealing to tech partners, engineers, and product managers.</t>
        </is>
      </c>
      <c r="V31" s="28">
        <f>IF(A31="","",IF(COUNTIF($A$5:$A$154,A31)&gt;1,"DUPLICATE","UNIQUE"))</f>
        <v/>
      </c>
      <c r="W31" s="28">
        <f>IF(A31="","",IF(T31="Rejected","REJECTED",IF(AND(B31&lt;&gt;"",C31&lt;&gt;"",D31&lt;&gt;"",E31&lt;&gt;"",F31&lt;&gt;"",G31&lt;&gt;"",H31&lt;&gt;"",I31&lt;&gt;"",J31&lt;&gt;"",M31&lt;&gt;"",O31&lt;&gt;"",T31&lt;&gt;""),"COMPLETE","MISSING FIELDS")))</f>
        <v/>
      </c>
    </row>
    <row r="32" ht="15" customHeight="1" s="15">
      <c r="A32" s="27" t="inlineStr">
        <is>
          <t>ASSET-28</t>
        </is>
      </c>
      <c r="B32" s="27" t="inlineStr">
        <is>
          <t>LinkedIn</t>
        </is>
      </c>
      <c r="C32" s="27" t="inlineStr">
        <is>
          <t>Text post</t>
        </is>
      </c>
      <c r="D32" s="27" t="inlineStr">
        <is>
          <t>Creator Growth / Strategy</t>
        </is>
      </c>
      <c r="E32" s="27" t="inlineStr">
        <is>
          <t>Stop writing captions like a robot. Here is the 4-part caption anatomy that drives comments:</t>
        </is>
      </c>
      <c r="F32" s="27" t="inlineStr">
        <is>
          <t>Stop writing captions like a robot.
Here is the 4-part caption anatomy that drives real conversations on LinkedIn:
1. Bold opening statement (the problem)
2. Vulnerable context (why you cared)
3. Tactical framework (the 3 steps)
4. Open question (invite discussion, not praise)
Which post style gets the most genuine feedback from your network?</t>
        </is>
      </c>
      <c r="G32" s="27" t="inlineStr">
        <is>
          <t>Drop your thoughts below. Let's discuss.</t>
        </is>
      </c>
      <c r="H32" s="27" t="inlineStr">
        <is>
          <t>https://incubrix.com/studio?utm_source=linkedin&amp;utm_medium=social&amp;utm_campaign=launch_30&amp;utm_content=asset-28</t>
        </is>
      </c>
      <c r="I32" s="27" t="inlineStr">
        <is>
          <t>https://github.com/Natarajchandrasekaran/incubrix-gtm-social/blob/master/assets/03_text_posts/post_28_caption_anatomy.txt</t>
        </is>
      </c>
      <c r="J32" s="27" t="inlineStr">
        <is>
          <t>https://github.com/Natarajchandrasekaran/incubrix-gtm-social/blob/master/assets/03_text_posts/post_28_caption_anatomy.md</t>
        </is>
      </c>
      <c r="K32" s="27" t="inlineStr">
        <is>
          <t>IncuBrix Product &amp; Creator Master Walkthrough</t>
        </is>
      </c>
      <c r="L32" s="27" t="inlineStr">
        <is>
          <t>IncuBrix Engine + Canva / CapCut</t>
        </is>
      </c>
      <c r="M32" s="27" t="inlineStr">
        <is>
          <t>Yes</t>
        </is>
      </c>
      <c r="N32" s="27" t="inlineStr">
        <is>
          <t>No</t>
        </is>
      </c>
      <c r="O32" s="27" t="inlineStr">
        <is>
          <t>2026-11-16</t>
        </is>
      </c>
      <c r="P32" s="27" t="inlineStr">
        <is>
          <t>https://linkedin.com/feed/update/urn:li:activity:placeholder</t>
        </is>
      </c>
      <c r="Q32" s="27" t="n">
        <v>120</v>
      </c>
      <c r="R32" s="27" t="n">
        <v>0.045</v>
      </c>
      <c r="S32" s="27" t="n">
        <v>6</v>
      </c>
      <c r="T32" s="27" t="inlineStr">
        <is>
          <t>Ready</t>
        </is>
      </c>
      <c r="U32" s="27" t="inlineStr">
        <is>
          <t>Engagement-focused post encouraging meaningful comment thread discussions.</t>
        </is>
      </c>
      <c r="V32" s="28">
        <f>IF(A32="","",IF(COUNTIF($A$5:$A$154,A32)&gt;1,"DUPLICATE","UNIQUE"))</f>
        <v/>
      </c>
      <c r="W32" s="28">
        <f>IF(A32="","",IF(T32="Rejected","REJECTED",IF(AND(B32&lt;&gt;"",C32&lt;&gt;"",D32&lt;&gt;"",E32&lt;&gt;"",F32&lt;&gt;"",G32&lt;&gt;"",H32&lt;&gt;"",I32&lt;&gt;"",J32&lt;&gt;"",M32&lt;&gt;"",O32&lt;&gt;"",T32&lt;&gt;""),"COMPLETE","MISSING FIELDS")))</f>
        <v/>
      </c>
    </row>
    <row r="33" ht="15" customHeight="1" s="15">
      <c r="A33" s="27" t="inlineStr">
        <is>
          <t>ASSET-29</t>
        </is>
      </c>
      <c r="B33" s="27" t="inlineStr">
        <is>
          <t>X</t>
        </is>
      </c>
      <c r="C33" s="27" t="inlineStr">
        <is>
          <t>Text post</t>
        </is>
      </c>
      <c r="D33" s="27" t="inlineStr">
        <is>
          <t>Industry Insights / AI Tools</t>
        </is>
      </c>
      <c r="E33" s="27" t="inlineStr">
        <is>
          <t>The difference between 'AI noise' and 'AI leverage' in content creation:</t>
        </is>
      </c>
      <c r="F33" s="27" t="inlineStr">
        <is>
          <t>The difference between 'AI noise' and 'AI leverage' in content creation:
AI Noise: Generating 50 low-effort generic blog posts nobody reads.
AI Leverage: Recording 1 high-conviction podcast and automating the 10 platform adaptations.
AI doesn't replace original insight. It accelerates authentic distribution.</t>
        </is>
      </c>
      <c r="G33" s="27" t="inlineStr">
        <is>
          <t>Agree or disagree? RT if you believe in quality over automated spam.</t>
        </is>
      </c>
      <c r="H33" s="27" t="inlineStr">
        <is>
          <t>https://incubrix.com/studio?utm_source=x&amp;utm_medium=social&amp;utm_campaign=launch_30&amp;utm_content=asset-29</t>
        </is>
      </c>
      <c r="I33" s="27" t="inlineStr">
        <is>
          <t>https://github.com/Natarajchandrasekaran/incubrix-gtm-social/blob/master/assets/03_text_posts/post_29_noise_vs_leverage.txt</t>
        </is>
      </c>
      <c r="J33" s="27" t="inlineStr">
        <is>
          <t>https://github.com/Natarajchandrasekaran/incubrix-gtm-social/blob/master/assets/03_text_posts/post_29_noise_vs_leverage.md</t>
        </is>
      </c>
      <c r="K33" s="27" t="inlineStr">
        <is>
          <t>IncuBrix Product &amp; Creator Master Walkthrough</t>
        </is>
      </c>
      <c r="L33" s="27" t="inlineStr">
        <is>
          <t>IncuBrix Engine + Canva / CapCut</t>
        </is>
      </c>
      <c r="M33" s="27" t="inlineStr">
        <is>
          <t>Yes</t>
        </is>
      </c>
      <c r="N33" s="27" t="inlineStr">
        <is>
          <t>No</t>
        </is>
      </c>
      <c r="O33" s="27" t="inlineStr">
        <is>
          <t>2026-11-17</t>
        </is>
      </c>
      <c r="P33" s="27" t="inlineStr">
        <is>
          <t>https://youtube.com/shorts/placeholder</t>
        </is>
      </c>
      <c r="Q33" s="27" t="n">
        <v>120</v>
      </c>
      <c r="R33" s="27" t="n">
        <v>0.045</v>
      </c>
      <c r="S33" s="27" t="n">
        <v>6</v>
      </c>
      <c r="T33" s="27" t="inlineStr">
        <is>
          <t>Ready</t>
        </is>
      </c>
      <c r="U33" s="27" t="inlineStr">
        <is>
          <t>Strong brand point-of-view post clarifying IncuBrix's focus on human insight amplified by AI.</t>
        </is>
      </c>
      <c r="V33" s="28">
        <f>IF(A33="","",IF(COUNTIF($A$5:$A$154,A33)&gt;1,"DUPLICATE","UNIQUE"))</f>
        <v/>
      </c>
      <c r="W33" s="28">
        <f>IF(A33="","",IF(T33="Rejected","REJECTED",IF(AND(B33&lt;&gt;"",C33&lt;&gt;"",D33&lt;&gt;"",E33&lt;&gt;"",F33&lt;&gt;"",G33&lt;&gt;"",H33&lt;&gt;"",I33&lt;&gt;"",J33&lt;&gt;"",M33&lt;&gt;"",O33&lt;&gt;"",T33&lt;&gt;""),"COMPLETE","MISSING FIELDS")))</f>
        <v/>
      </c>
    </row>
    <row r="34" ht="15" customHeight="1" s="15">
      <c r="A34" s="27" t="inlineStr">
        <is>
          <t>ASSET-30</t>
        </is>
      </c>
      <c r="B34" s="27" t="inlineStr">
        <is>
          <t>LinkedIn</t>
        </is>
      </c>
      <c r="C34" s="27" t="inlineStr">
        <is>
          <t>Text post</t>
        </is>
      </c>
      <c r="D34" s="27" t="inlineStr">
        <is>
          <t>Product Demo / How-To</t>
        </is>
      </c>
      <c r="E34" s="27" t="inlineStr">
        <is>
          <t>The 30-Day Omnichannel Challenge: 1 Recording → 30 Published Assets.</t>
        </is>
      </c>
      <c r="F34" s="27" t="inlineStr">
        <is>
          <t>What if you could fill your entire November content calendar in one afternoon?
That's the 30-Day Omnichannel Challenge with IncuBrix Creator Studio:
• 10 Short Videos
• 5 Multi-slide Carousels
• 15 Value-packed Posts
All scheduled, tracked with UTMs, and distributed to your audience.
Are you ready to scale your media presence?</t>
        </is>
      </c>
      <c r="G34" s="27" t="inlineStr">
        <is>
          <t>Claim your free Creator Studio trial today at app.incubrix.com.</t>
        </is>
      </c>
      <c r="H34" s="27" t="inlineStr">
        <is>
          <t>https://incubrix.com/studio?utm_source=linkedin&amp;utm_medium=social&amp;utm_campaign=launch_30&amp;utm_content=asset-30</t>
        </is>
      </c>
      <c r="I34" s="27" t="inlineStr">
        <is>
          <t>https://github.com/Natarajchandrasekaran/incubrix-gtm-social/blob/master/assets/03_text_posts/post_30_30day_challenge.txt</t>
        </is>
      </c>
      <c r="J34" s="27" t="inlineStr">
        <is>
          <t>https://github.com/Natarajchandrasekaran/incubrix-gtm-social/blob/master/assets/03_text_posts/post_30_30day_challenge.md</t>
        </is>
      </c>
      <c r="K34" s="27" t="inlineStr">
        <is>
          <t>IncuBrix Product &amp; Creator Master Walkthrough</t>
        </is>
      </c>
      <c r="L34" s="27" t="inlineStr">
        <is>
          <t>IncuBrix Engine + Canva / CapCut</t>
        </is>
      </c>
      <c r="M34" s="27" t="inlineStr">
        <is>
          <t>Yes</t>
        </is>
      </c>
      <c r="N34" s="27" t="inlineStr">
        <is>
          <t>No</t>
        </is>
      </c>
      <c r="O34" s="27" t="inlineStr">
        <is>
          <t>2026-11-18</t>
        </is>
      </c>
      <c r="P34" s="27" t="inlineStr">
        <is>
          <t>https://linkedin.com/feed/update/urn:li:activity:placeholder</t>
        </is>
      </c>
      <c r="Q34" s="27" t="n">
        <v>120</v>
      </c>
      <c r="R34" s="27" t="n">
        <v>0.045</v>
      </c>
      <c r="S34" s="27" t="n">
        <v>6</v>
      </c>
      <c r="T34" s="27" t="inlineStr">
        <is>
          <t>Ready</t>
        </is>
      </c>
      <c r="U34" s="27" t="inlineStr">
        <is>
          <t>Campaign culmination post pitching the full 30-asset system.</t>
        </is>
      </c>
      <c r="V34" s="28">
        <f>IF(A34="","",IF(COUNTIF($A$5:$A$154,A34)&gt;1,"DUPLICATE","UNIQUE"))</f>
        <v/>
      </c>
      <c r="W34" s="28">
        <f>IF(A34="","",IF(T34="Rejected","REJECTED",IF(AND(B34&lt;&gt;"",C34&lt;&gt;"",D34&lt;&gt;"",E34&lt;&gt;"",F34&lt;&gt;"",G34&lt;&gt;"",H34&lt;&gt;"",I34&lt;&gt;"",J34&lt;&gt;"",M34&lt;&gt;"",O34&lt;&gt;"",T34&lt;&gt;""),"COMPLETE","MISSING FIELDS")))</f>
        <v/>
      </c>
    </row>
    <row r="35" ht="15" customHeight="1" s="15">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8">
        <f>IF(A35="","",IF(COUNTIF($A$5:$A$154,A35)&gt;1,"DUPLICATE","UNIQUE"))</f>
        <v/>
      </c>
      <c r="W35" s="28">
        <f>IF(A35="","",IF(T35="Rejected","REJECTED",IF(AND(B35&lt;&gt;"",C35&lt;&gt;"",D35&lt;&gt;"",E35&lt;&gt;"",F35&lt;&gt;"",G35&lt;&gt;"",H35&lt;&gt;"",I35&lt;&gt;"",J35&lt;&gt;"",M35&lt;&gt;"",O35&lt;&gt;"",T35&lt;&gt;""),"COMPLETE","MISSING FIELDS")))</f>
        <v/>
      </c>
    </row>
    <row r="36" ht="15" customHeight="1" s="15">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8">
        <f>IF(A36="","",IF(COUNTIF($A$5:$A$154,A36)&gt;1,"DUPLICATE","UNIQUE"))</f>
        <v/>
      </c>
      <c r="W36" s="28">
        <f>IF(A36="","",IF(T36="Rejected","REJECTED",IF(AND(B36&lt;&gt;"",C36&lt;&gt;"",D36&lt;&gt;"",E36&lt;&gt;"",F36&lt;&gt;"",G36&lt;&gt;"",H36&lt;&gt;"",I36&lt;&gt;"",J36&lt;&gt;"",M36&lt;&gt;"",O36&lt;&gt;"",T36&lt;&gt;""),"COMPLETE","MISSING FIELDS")))</f>
        <v/>
      </c>
    </row>
    <row r="37" ht="15" customHeight="1" s="15">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8">
        <f>IF(A37="","",IF(COUNTIF($A$5:$A$154,A37)&gt;1,"DUPLICATE","UNIQUE"))</f>
        <v/>
      </c>
      <c r="W37" s="28">
        <f>IF(A37="","",IF(T37="Rejected","REJECTED",IF(AND(B37&lt;&gt;"",C37&lt;&gt;"",D37&lt;&gt;"",E37&lt;&gt;"",F37&lt;&gt;"",G37&lt;&gt;"",H37&lt;&gt;"",I37&lt;&gt;"",J37&lt;&gt;"",M37&lt;&gt;"",O37&lt;&gt;"",T37&lt;&gt;""),"COMPLETE","MISSING FIELDS")))</f>
        <v/>
      </c>
    </row>
    <row r="38" ht="15" customHeight="1" s="15">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8">
        <f>IF(A38="","",IF(COUNTIF($A$5:$A$154,A38)&gt;1,"DUPLICATE","UNIQUE"))</f>
        <v/>
      </c>
      <c r="W38" s="28">
        <f>IF(A38="","",IF(T38="Rejected","REJECTED",IF(AND(B38&lt;&gt;"",C38&lt;&gt;"",D38&lt;&gt;"",E38&lt;&gt;"",F38&lt;&gt;"",G38&lt;&gt;"",H38&lt;&gt;"",I38&lt;&gt;"",J38&lt;&gt;"",M38&lt;&gt;"",O38&lt;&gt;"",T38&lt;&gt;""),"COMPLETE","MISSING FIELDS")))</f>
        <v/>
      </c>
    </row>
    <row r="39" ht="15" customHeight="1" s="15">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8">
        <f>IF(A39="","",IF(COUNTIF($A$5:$A$154,A39)&gt;1,"DUPLICATE","UNIQUE"))</f>
        <v/>
      </c>
      <c r="W39" s="28">
        <f>IF(A39="","",IF(T39="Rejected","REJECTED",IF(AND(B39&lt;&gt;"",C39&lt;&gt;"",D39&lt;&gt;"",E39&lt;&gt;"",F39&lt;&gt;"",G39&lt;&gt;"",H39&lt;&gt;"",I39&lt;&gt;"",J39&lt;&gt;"",M39&lt;&gt;"",O39&lt;&gt;"",T39&lt;&gt;""),"COMPLETE","MISSING FIELDS")))</f>
        <v/>
      </c>
    </row>
    <row r="40" ht="15" customHeight="1" s="15">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8">
        <f>IF(A40="","",IF(COUNTIF($A$5:$A$154,A40)&gt;1,"DUPLICATE","UNIQUE"))</f>
        <v/>
      </c>
      <c r="W40" s="28">
        <f>IF(A40="","",IF(T40="Rejected","REJECTED",IF(AND(B40&lt;&gt;"",C40&lt;&gt;"",D40&lt;&gt;"",E40&lt;&gt;"",F40&lt;&gt;"",G40&lt;&gt;"",H40&lt;&gt;"",I40&lt;&gt;"",J40&lt;&gt;"",M40&lt;&gt;"",O40&lt;&gt;"",T40&lt;&gt;""),"COMPLETE","MISSING FIELDS")))</f>
        <v/>
      </c>
    </row>
    <row r="41" ht="15" customHeight="1" s="15">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8">
        <f>IF(A41="","",IF(COUNTIF($A$5:$A$154,A41)&gt;1,"DUPLICATE","UNIQUE"))</f>
        <v/>
      </c>
      <c r="W41" s="28">
        <f>IF(A41="","",IF(T41="Rejected","REJECTED",IF(AND(B41&lt;&gt;"",C41&lt;&gt;"",D41&lt;&gt;"",E41&lt;&gt;"",F41&lt;&gt;"",G41&lt;&gt;"",H41&lt;&gt;"",I41&lt;&gt;"",J41&lt;&gt;"",M41&lt;&gt;"",O41&lt;&gt;"",T41&lt;&gt;""),"COMPLETE","MISSING FIELDS")))</f>
        <v/>
      </c>
    </row>
    <row r="42" ht="15" customHeight="1" s="15">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8">
        <f>IF(A42="","",IF(COUNTIF($A$5:$A$154,A42)&gt;1,"DUPLICATE","UNIQUE"))</f>
        <v/>
      </c>
      <c r="W42" s="28">
        <f>IF(A42="","",IF(T42="Rejected","REJECTED",IF(AND(B42&lt;&gt;"",C42&lt;&gt;"",D42&lt;&gt;"",E42&lt;&gt;"",F42&lt;&gt;"",G42&lt;&gt;"",H42&lt;&gt;"",I42&lt;&gt;"",J42&lt;&gt;"",M42&lt;&gt;"",O42&lt;&gt;"",T42&lt;&gt;""),"COMPLETE","MISSING FIELDS")))</f>
        <v/>
      </c>
    </row>
    <row r="43" ht="15" customHeight="1" s="15">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8">
        <f>IF(A43="","",IF(COUNTIF($A$5:$A$154,A43)&gt;1,"DUPLICATE","UNIQUE"))</f>
        <v/>
      </c>
      <c r="W43" s="28">
        <f>IF(A43="","",IF(T43="Rejected","REJECTED",IF(AND(B43&lt;&gt;"",C43&lt;&gt;"",D43&lt;&gt;"",E43&lt;&gt;"",F43&lt;&gt;"",G43&lt;&gt;"",H43&lt;&gt;"",I43&lt;&gt;"",J43&lt;&gt;"",M43&lt;&gt;"",O43&lt;&gt;"",T43&lt;&gt;""),"COMPLETE","MISSING FIELDS")))</f>
        <v/>
      </c>
    </row>
    <row r="44" ht="15" customHeight="1" s="15">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8">
        <f>IF(A44="","",IF(COUNTIF($A$5:$A$154,A44)&gt;1,"DUPLICATE","UNIQUE"))</f>
        <v/>
      </c>
      <c r="W44" s="28">
        <f>IF(A44="","",IF(T44="Rejected","REJECTED",IF(AND(B44&lt;&gt;"",C44&lt;&gt;"",D44&lt;&gt;"",E44&lt;&gt;"",F44&lt;&gt;"",G44&lt;&gt;"",H44&lt;&gt;"",I44&lt;&gt;"",J44&lt;&gt;"",M44&lt;&gt;"",O44&lt;&gt;"",T44&lt;&gt;""),"COMPLETE","MISSING FIELDS")))</f>
        <v/>
      </c>
    </row>
    <row r="45" ht="15" customHeight="1" s="15">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8">
        <f>IF(A45="","",IF(COUNTIF($A$5:$A$154,A45)&gt;1,"DUPLICATE","UNIQUE"))</f>
        <v/>
      </c>
      <c r="W45" s="28">
        <f>IF(A45="","",IF(T45="Rejected","REJECTED",IF(AND(B45&lt;&gt;"",C45&lt;&gt;"",D45&lt;&gt;"",E45&lt;&gt;"",F45&lt;&gt;"",G45&lt;&gt;"",H45&lt;&gt;"",I45&lt;&gt;"",J45&lt;&gt;"",M45&lt;&gt;"",O45&lt;&gt;"",T45&lt;&gt;""),"COMPLETE","MISSING FIELDS")))</f>
        <v/>
      </c>
    </row>
    <row r="46" ht="15" customHeight="1" s="15">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8">
        <f>IF(A46="","",IF(COUNTIF($A$5:$A$154,A46)&gt;1,"DUPLICATE","UNIQUE"))</f>
        <v/>
      </c>
      <c r="W46" s="28">
        <f>IF(A46="","",IF(T46="Rejected","REJECTED",IF(AND(B46&lt;&gt;"",C46&lt;&gt;"",D46&lt;&gt;"",E46&lt;&gt;"",F46&lt;&gt;"",G46&lt;&gt;"",H46&lt;&gt;"",I46&lt;&gt;"",J46&lt;&gt;"",M46&lt;&gt;"",O46&lt;&gt;"",T46&lt;&gt;""),"COMPLETE","MISSING FIELDS")))</f>
        <v/>
      </c>
    </row>
    <row r="47" ht="15" customHeight="1" s="15">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8">
        <f>IF(A47="","",IF(COUNTIF($A$5:$A$154,A47)&gt;1,"DUPLICATE","UNIQUE"))</f>
        <v/>
      </c>
      <c r="W47" s="28">
        <f>IF(A47="","",IF(T47="Rejected","REJECTED",IF(AND(B47&lt;&gt;"",C47&lt;&gt;"",D47&lt;&gt;"",E47&lt;&gt;"",F47&lt;&gt;"",G47&lt;&gt;"",H47&lt;&gt;"",I47&lt;&gt;"",J47&lt;&gt;"",M47&lt;&gt;"",O47&lt;&gt;"",T47&lt;&gt;""),"COMPLETE","MISSING FIELDS")))</f>
        <v/>
      </c>
    </row>
    <row r="48" ht="15" customHeight="1" s="15">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8">
        <f>IF(A48="","",IF(COUNTIF($A$5:$A$154,A48)&gt;1,"DUPLICATE","UNIQUE"))</f>
        <v/>
      </c>
      <c r="W48" s="28">
        <f>IF(A48="","",IF(T48="Rejected","REJECTED",IF(AND(B48&lt;&gt;"",C48&lt;&gt;"",D48&lt;&gt;"",E48&lt;&gt;"",F48&lt;&gt;"",G48&lt;&gt;"",H48&lt;&gt;"",I48&lt;&gt;"",J48&lt;&gt;"",M48&lt;&gt;"",O48&lt;&gt;"",T48&lt;&gt;""),"COMPLETE","MISSING FIELDS")))</f>
        <v/>
      </c>
    </row>
    <row r="49" ht="15" customHeight="1" s="15">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8">
        <f>IF(A49="","",IF(COUNTIF($A$5:$A$154,A49)&gt;1,"DUPLICATE","UNIQUE"))</f>
        <v/>
      </c>
      <c r="W49" s="28">
        <f>IF(A49="","",IF(T49="Rejected","REJECTED",IF(AND(B49&lt;&gt;"",C49&lt;&gt;"",D49&lt;&gt;"",E49&lt;&gt;"",F49&lt;&gt;"",G49&lt;&gt;"",H49&lt;&gt;"",I49&lt;&gt;"",J49&lt;&gt;"",M49&lt;&gt;"",O49&lt;&gt;"",T49&lt;&gt;""),"COMPLETE","MISSING FIELDS")))</f>
        <v/>
      </c>
    </row>
    <row r="50" ht="15" customHeight="1" s="15">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8">
        <f>IF(A50="","",IF(COUNTIF($A$5:$A$154,A50)&gt;1,"DUPLICATE","UNIQUE"))</f>
        <v/>
      </c>
      <c r="W50" s="28">
        <f>IF(A50="","",IF(T50="Rejected","REJECTED",IF(AND(B50&lt;&gt;"",C50&lt;&gt;"",D50&lt;&gt;"",E50&lt;&gt;"",F50&lt;&gt;"",G50&lt;&gt;"",H50&lt;&gt;"",I50&lt;&gt;"",J50&lt;&gt;"",M50&lt;&gt;"",O50&lt;&gt;"",T50&lt;&gt;""),"COMPLETE","MISSING FIELDS")))</f>
        <v/>
      </c>
    </row>
    <row r="51" ht="15" customHeight="1" s="15">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8">
        <f>IF(A51="","",IF(COUNTIF($A$5:$A$154,A51)&gt;1,"DUPLICATE","UNIQUE"))</f>
        <v/>
      </c>
      <c r="W51" s="28">
        <f>IF(A51="","",IF(T51="Rejected","REJECTED",IF(AND(B51&lt;&gt;"",C51&lt;&gt;"",D51&lt;&gt;"",E51&lt;&gt;"",F51&lt;&gt;"",G51&lt;&gt;"",H51&lt;&gt;"",I51&lt;&gt;"",J51&lt;&gt;"",M51&lt;&gt;"",O51&lt;&gt;"",T51&lt;&gt;""),"COMPLETE","MISSING FIELDS")))</f>
        <v/>
      </c>
    </row>
    <row r="52" ht="15" customHeight="1" s="15">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8">
        <f>IF(A52="","",IF(COUNTIF($A$5:$A$154,A52)&gt;1,"DUPLICATE","UNIQUE"))</f>
        <v/>
      </c>
      <c r="W52" s="28">
        <f>IF(A52="","",IF(T52="Rejected","REJECTED",IF(AND(B52&lt;&gt;"",C52&lt;&gt;"",D52&lt;&gt;"",E52&lt;&gt;"",F52&lt;&gt;"",G52&lt;&gt;"",H52&lt;&gt;"",I52&lt;&gt;"",J52&lt;&gt;"",M52&lt;&gt;"",O52&lt;&gt;"",T52&lt;&gt;""),"COMPLETE","MISSING FIELDS")))</f>
        <v/>
      </c>
    </row>
    <row r="53" ht="15" customHeight="1" s="15">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8">
        <f>IF(A53="","",IF(COUNTIF($A$5:$A$154,A53)&gt;1,"DUPLICATE","UNIQUE"))</f>
        <v/>
      </c>
      <c r="W53" s="28">
        <f>IF(A53="","",IF(T53="Rejected","REJECTED",IF(AND(B53&lt;&gt;"",C53&lt;&gt;"",D53&lt;&gt;"",E53&lt;&gt;"",F53&lt;&gt;"",G53&lt;&gt;"",H53&lt;&gt;"",I53&lt;&gt;"",J53&lt;&gt;"",M53&lt;&gt;"",O53&lt;&gt;"",T53&lt;&gt;""),"COMPLETE","MISSING FIELDS")))</f>
        <v/>
      </c>
    </row>
    <row r="54" ht="15" customHeight="1" s="15">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8">
        <f>IF(A54="","",IF(COUNTIF($A$5:$A$154,A54)&gt;1,"DUPLICATE","UNIQUE"))</f>
        <v/>
      </c>
      <c r="W54" s="28">
        <f>IF(A54="","",IF(T54="Rejected","REJECTED",IF(AND(B54&lt;&gt;"",C54&lt;&gt;"",D54&lt;&gt;"",E54&lt;&gt;"",F54&lt;&gt;"",G54&lt;&gt;"",H54&lt;&gt;"",I54&lt;&gt;"",J54&lt;&gt;"",M54&lt;&gt;"",O54&lt;&gt;"",T54&lt;&gt;""),"COMPLETE","MISSING FIELDS")))</f>
        <v/>
      </c>
    </row>
    <row r="55" ht="15" customHeight="1" s="1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8">
        <f>IF(A55="","",IF(COUNTIF($A$5:$A$154,A55)&gt;1,"DUPLICATE","UNIQUE"))</f>
        <v/>
      </c>
      <c r="W55" s="28">
        <f>IF(A55="","",IF(T55="Rejected","REJECTED",IF(AND(B55&lt;&gt;"",C55&lt;&gt;"",D55&lt;&gt;"",E55&lt;&gt;"",F55&lt;&gt;"",G55&lt;&gt;"",H55&lt;&gt;"",I55&lt;&gt;"",J55&lt;&gt;"",M55&lt;&gt;"",O55&lt;&gt;"",T55&lt;&gt;""),"COMPLETE","MISSING FIELDS")))</f>
        <v/>
      </c>
    </row>
    <row r="56" ht="15" customHeight="1" s="15">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8">
        <f>IF(A56="","",IF(COUNTIF($A$5:$A$154,A56)&gt;1,"DUPLICATE","UNIQUE"))</f>
        <v/>
      </c>
      <c r="W56" s="28">
        <f>IF(A56="","",IF(T56="Rejected","REJECTED",IF(AND(B56&lt;&gt;"",C56&lt;&gt;"",D56&lt;&gt;"",E56&lt;&gt;"",F56&lt;&gt;"",G56&lt;&gt;"",H56&lt;&gt;"",I56&lt;&gt;"",J56&lt;&gt;"",M56&lt;&gt;"",O56&lt;&gt;"",T56&lt;&gt;""),"COMPLETE","MISSING FIELDS")))</f>
        <v/>
      </c>
    </row>
    <row r="57" ht="15" customHeight="1" s="15">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8">
        <f>IF(A57="","",IF(COUNTIF($A$5:$A$154,A57)&gt;1,"DUPLICATE","UNIQUE"))</f>
        <v/>
      </c>
      <c r="W57" s="28">
        <f>IF(A57="","",IF(T57="Rejected","REJECTED",IF(AND(B57&lt;&gt;"",C57&lt;&gt;"",D57&lt;&gt;"",E57&lt;&gt;"",F57&lt;&gt;"",G57&lt;&gt;"",H57&lt;&gt;"",I57&lt;&gt;"",J57&lt;&gt;"",M57&lt;&gt;"",O57&lt;&gt;"",T57&lt;&gt;""),"COMPLETE","MISSING FIELDS")))</f>
        <v/>
      </c>
    </row>
    <row r="58" ht="15" customHeight="1" s="15">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8">
        <f>IF(A58="","",IF(COUNTIF($A$5:$A$154,A58)&gt;1,"DUPLICATE","UNIQUE"))</f>
        <v/>
      </c>
      <c r="W58" s="28">
        <f>IF(A58="","",IF(T58="Rejected","REJECTED",IF(AND(B58&lt;&gt;"",C58&lt;&gt;"",D58&lt;&gt;"",E58&lt;&gt;"",F58&lt;&gt;"",G58&lt;&gt;"",H58&lt;&gt;"",I58&lt;&gt;"",J58&lt;&gt;"",M58&lt;&gt;"",O58&lt;&gt;"",T58&lt;&gt;""),"COMPLETE","MISSING FIELDS")))</f>
        <v/>
      </c>
    </row>
    <row r="59" ht="15" customHeight="1" s="15">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8">
        <f>IF(A59="","",IF(COUNTIF($A$5:$A$154,A59)&gt;1,"DUPLICATE","UNIQUE"))</f>
        <v/>
      </c>
      <c r="W59" s="28">
        <f>IF(A59="","",IF(T59="Rejected","REJECTED",IF(AND(B59&lt;&gt;"",C59&lt;&gt;"",D59&lt;&gt;"",E59&lt;&gt;"",F59&lt;&gt;"",G59&lt;&gt;"",H59&lt;&gt;"",I59&lt;&gt;"",J59&lt;&gt;"",M59&lt;&gt;"",O59&lt;&gt;"",T59&lt;&gt;""),"COMPLETE","MISSING FIELDS")))</f>
        <v/>
      </c>
    </row>
    <row r="60" ht="15" customHeight="1" s="15">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8">
        <f>IF(A60="","",IF(COUNTIF($A$5:$A$154,A60)&gt;1,"DUPLICATE","UNIQUE"))</f>
        <v/>
      </c>
      <c r="W60" s="28">
        <f>IF(A60="","",IF(T60="Rejected","REJECTED",IF(AND(B60&lt;&gt;"",C60&lt;&gt;"",D60&lt;&gt;"",E60&lt;&gt;"",F60&lt;&gt;"",G60&lt;&gt;"",H60&lt;&gt;"",I60&lt;&gt;"",J60&lt;&gt;"",M60&lt;&gt;"",O60&lt;&gt;"",T60&lt;&gt;""),"COMPLETE","MISSING FIELDS")))</f>
        <v/>
      </c>
    </row>
    <row r="61" ht="15" customHeight="1" s="15">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8">
        <f>IF(A61="","",IF(COUNTIF($A$5:$A$154,A61)&gt;1,"DUPLICATE","UNIQUE"))</f>
        <v/>
      </c>
      <c r="W61" s="28">
        <f>IF(A61="","",IF(T61="Rejected","REJECTED",IF(AND(B61&lt;&gt;"",C61&lt;&gt;"",D61&lt;&gt;"",E61&lt;&gt;"",F61&lt;&gt;"",G61&lt;&gt;"",H61&lt;&gt;"",I61&lt;&gt;"",J61&lt;&gt;"",M61&lt;&gt;"",O61&lt;&gt;"",T61&lt;&gt;""),"COMPLETE","MISSING FIELDS")))</f>
        <v/>
      </c>
    </row>
    <row r="62" ht="15" customHeight="1" s="15">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8">
        <f>IF(A62="","",IF(COUNTIF($A$5:$A$154,A62)&gt;1,"DUPLICATE","UNIQUE"))</f>
        <v/>
      </c>
      <c r="W62" s="28">
        <f>IF(A62="","",IF(T62="Rejected","REJECTED",IF(AND(B62&lt;&gt;"",C62&lt;&gt;"",D62&lt;&gt;"",E62&lt;&gt;"",F62&lt;&gt;"",G62&lt;&gt;"",H62&lt;&gt;"",I62&lt;&gt;"",J62&lt;&gt;"",M62&lt;&gt;"",O62&lt;&gt;"",T62&lt;&gt;""),"COMPLETE","MISSING FIELDS")))</f>
        <v/>
      </c>
    </row>
    <row r="63" ht="15" customHeight="1" s="15">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8">
        <f>IF(A63="","",IF(COUNTIF($A$5:$A$154,A63)&gt;1,"DUPLICATE","UNIQUE"))</f>
        <v/>
      </c>
      <c r="W63" s="28">
        <f>IF(A63="","",IF(T63="Rejected","REJECTED",IF(AND(B63&lt;&gt;"",C63&lt;&gt;"",D63&lt;&gt;"",E63&lt;&gt;"",F63&lt;&gt;"",G63&lt;&gt;"",H63&lt;&gt;"",I63&lt;&gt;"",J63&lt;&gt;"",M63&lt;&gt;"",O63&lt;&gt;"",T63&lt;&gt;""),"COMPLETE","MISSING FIELDS")))</f>
        <v/>
      </c>
    </row>
    <row r="64" ht="15" customHeight="1" s="15">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8">
        <f>IF(A64="","",IF(COUNTIF($A$5:$A$154,A64)&gt;1,"DUPLICATE","UNIQUE"))</f>
        <v/>
      </c>
      <c r="W64" s="28">
        <f>IF(A64="","",IF(T64="Rejected","REJECTED",IF(AND(B64&lt;&gt;"",C64&lt;&gt;"",D64&lt;&gt;"",E64&lt;&gt;"",F64&lt;&gt;"",G64&lt;&gt;"",H64&lt;&gt;"",I64&lt;&gt;"",J64&lt;&gt;"",M64&lt;&gt;"",O64&lt;&gt;"",T64&lt;&gt;""),"COMPLETE","MISSING FIELDS")))</f>
        <v/>
      </c>
    </row>
    <row r="65" ht="15" customHeight="1" s="1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8">
        <f>IF(A65="","",IF(COUNTIF($A$5:$A$154,A65)&gt;1,"DUPLICATE","UNIQUE"))</f>
        <v/>
      </c>
      <c r="W65" s="28">
        <f>IF(A65="","",IF(T65="Rejected","REJECTED",IF(AND(B65&lt;&gt;"",C65&lt;&gt;"",D65&lt;&gt;"",E65&lt;&gt;"",F65&lt;&gt;"",G65&lt;&gt;"",H65&lt;&gt;"",I65&lt;&gt;"",J65&lt;&gt;"",M65&lt;&gt;"",O65&lt;&gt;"",T65&lt;&gt;""),"COMPLETE","MISSING FIELDS")))</f>
        <v/>
      </c>
    </row>
    <row r="66" ht="15" customHeight="1" s="15">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8">
        <f>IF(A66="","",IF(COUNTIF($A$5:$A$154,A66)&gt;1,"DUPLICATE","UNIQUE"))</f>
        <v/>
      </c>
      <c r="W66" s="28">
        <f>IF(A66="","",IF(T66="Rejected","REJECTED",IF(AND(B66&lt;&gt;"",C66&lt;&gt;"",D66&lt;&gt;"",E66&lt;&gt;"",F66&lt;&gt;"",G66&lt;&gt;"",H66&lt;&gt;"",I66&lt;&gt;"",J66&lt;&gt;"",M66&lt;&gt;"",O66&lt;&gt;"",T66&lt;&gt;""),"COMPLETE","MISSING FIELDS")))</f>
        <v/>
      </c>
    </row>
    <row r="67" ht="15" customHeight="1" s="15">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8">
        <f>IF(A67="","",IF(COUNTIF($A$5:$A$154,A67)&gt;1,"DUPLICATE","UNIQUE"))</f>
        <v/>
      </c>
      <c r="W67" s="28">
        <f>IF(A67="","",IF(T67="Rejected","REJECTED",IF(AND(B67&lt;&gt;"",C67&lt;&gt;"",D67&lt;&gt;"",E67&lt;&gt;"",F67&lt;&gt;"",G67&lt;&gt;"",H67&lt;&gt;"",I67&lt;&gt;"",J67&lt;&gt;"",M67&lt;&gt;"",O67&lt;&gt;"",T67&lt;&gt;""),"COMPLETE","MISSING FIELDS")))</f>
        <v/>
      </c>
    </row>
    <row r="68" ht="15" customHeight="1" s="15">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8">
        <f>IF(A68="","",IF(COUNTIF($A$5:$A$154,A68)&gt;1,"DUPLICATE","UNIQUE"))</f>
        <v/>
      </c>
      <c r="W68" s="28">
        <f>IF(A68="","",IF(T68="Rejected","REJECTED",IF(AND(B68&lt;&gt;"",C68&lt;&gt;"",D68&lt;&gt;"",E68&lt;&gt;"",F68&lt;&gt;"",G68&lt;&gt;"",H68&lt;&gt;"",I68&lt;&gt;"",J68&lt;&gt;"",M68&lt;&gt;"",O68&lt;&gt;"",T68&lt;&gt;""),"COMPLETE","MISSING FIELDS")))</f>
        <v/>
      </c>
    </row>
    <row r="69" ht="15" customHeight="1" s="15">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8">
        <f>IF(A69="","",IF(COUNTIF($A$5:$A$154,A69)&gt;1,"DUPLICATE","UNIQUE"))</f>
        <v/>
      </c>
      <c r="W69" s="28">
        <f>IF(A69="","",IF(T69="Rejected","REJECTED",IF(AND(B69&lt;&gt;"",C69&lt;&gt;"",D69&lt;&gt;"",E69&lt;&gt;"",F69&lt;&gt;"",G69&lt;&gt;"",H69&lt;&gt;"",I69&lt;&gt;"",J69&lt;&gt;"",M69&lt;&gt;"",O69&lt;&gt;"",T69&lt;&gt;""),"COMPLETE","MISSING FIELDS")))</f>
        <v/>
      </c>
    </row>
    <row r="70" ht="15" customHeight="1" s="15">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8">
        <f>IF(A70="","",IF(COUNTIF($A$5:$A$154,A70)&gt;1,"DUPLICATE","UNIQUE"))</f>
        <v/>
      </c>
      <c r="W70" s="28">
        <f>IF(A70="","",IF(T70="Rejected","REJECTED",IF(AND(B70&lt;&gt;"",C70&lt;&gt;"",D70&lt;&gt;"",E70&lt;&gt;"",F70&lt;&gt;"",G70&lt;&gt;"",H70&lt;&gt;"",I70&lt;&gt;"",J70&lt;&gt;"",M70&lt;&gt;"",O70&lt;&gt;"",T70&lt;&gt;""),"COMPLETE","MISSING FIELDS")))</f>
        <v/>
      </c>
    </row>
    <row r="71" ht="15" customHeight="1" s="15">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8">
        <f>IF(A71="","",IF(COUNTIF($A$5:$A$154,A71)&gt;1,"DUPLICATE","UNIQUE"))</f>
        <v/>
      </c>
      <c r="W71" s="28">
        <f>IF(A71="","",IF(T71="Rejected","REJECTED",IF(AND(B71&lt;&gt;"",C71&lt;&gt;"",D71&lt;&gt;"",E71&lt;&gt;"",F71&lt;&gt;"",G71&lt;&gt;"",H71&lt;&gt;"",I71&lt;&gt;"",J71&lt;&gt;"",M71&lt;&gt;"",O71&lt;&gt;"",T71&lt;&gt;""),"COMPLETE","MISSING FIELDS")))</f>
        <v/>
      </c>
    </row>
    <row r="72" ht="15" customHeight="1" s="15">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8">
        <f>IF(A72="","",IF(COUNTIF($A$5:$A$154,A72)&gt;1,"DUPLICATE","UNIQUE"))</f>
        <v/>
      </c>
      <c r="W72" s="28">
        <f>IF(A72="","",IF(T72="Rejected","REJECTED",IF(AND(B72&lt;&gt;"",C72&lt;&gt;"",D72&lt;&gt;"",E72&lt;&gt;"",F72&lt;&gt;"",G72&lt;&gt;"",H72&lt;&gt;"",I72&lt;&gt;"",J72&lt;&gt;"",M72&lt;&gt;"",O72&lt;&gt;"",T72&lt;&gt;""),"COMPLETE","MISSING FIELDS")))</f>
        <v/>
      </c>
    </row>
    <row r="73" ht="15" customHeight="1" s="15">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8">
        <f>IF(A73="","",IF(COUNTIF($A$5:$A$154,A73)&gt;1,"DUPLICATE","UNIQUE"))</f>
        <v/>
      </c>
      <c r="W73" s="28">
        <f>IF(A73="","",IF(T73="Rejected","REJECTED",IF(AND(B73&lt;&gt;"",C73&lt;&gt;"",D73&lt;&gt;"",E73&lt;&gt;"",F73&lt;&gt;"",G73&lt;&gt;"",H73&lt;&gt;"",I73&lt;&gt;"",J73&lt;&gt;"",M73&lt;&gt;"",O73&lt;&gt;"",T73&lt;&gt;""),"COMPLETE","MISSING FIELDS")))</f>
        <v/>
      </c>
    </row>
    <row r="74" ht="15" customHeight="1" s="15">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8">
        <f>IF(A74="","",IF(COUNTIF($A$5:$A$154,A74)&gt;1,"DUPLICATE","UNIQUE"))</f>
        <v/>
      </c>
      <c r="W74" s="28">
        <f>IF(A74="","",IF(T74="Rejected","REJECTED",IF(AND(B74&lt;&gt;"",C74&lt;&gt;"",D74&lt;&gt;"",E74&lt;&gt;"",F74&lt;&gt;"",G74&lt;&gt;"",H74&lt;&gt;"",I74&lt;&gt;"",J74&lt;&gt;"",M74&lt;&gt;"",O74&lt;&gt;"",T74&lt;&gt;""),"COMPLETE","MISSING FIELDS")))</f>
        <v/>
      </c>
    </row>
    <row r="75" ht="15" customHeight="1" s="1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8">
        <f>IF(A75="","",IF(COUNTIF($A$5:$A$154,A75)&gt;1,"DUPLICATE","UNIQUE"))</f>
        <v/>
      </c>
      <c r="W75" s="28">
        <f>IF(A75="","",IF(T75="Rejected","REJECTED",IF(AND(B75&lt;&gt;"",C75&lt;&gt;"",D75&lt;&gt;"",E75&lt;&gt;"",F75&lt;&gt;"",G75&lt;&gt;"",H75&lt;&gt;"",I75&lt;&gt;"",J75&lt;&gt;"",M75&lt;&gt;"",O75&lt;&gt;"",T75&lt;&gt;""),"COMPLETE","MISSING FIELDS")))</f>
        <v/>
      </c>
    </row>
    <row r="76" ht="15" customHeight="1" s="15">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8">
        <f>IF(A76="","",IF(COUNTIF($A$5:$A$154,A76)&gt;1,"DUPLICATE","UNIQUE"))</f>
        <v/>
      </c>
      <c r="W76" s="28">
        <f>IF(A76="","",IF(T76="Rejected","REJECTED",IF(AND(B76&lt;&gt;"",C76&lt;&gt;"",D76&lt;&gt;"",E76&lt;&gt;"",F76&lt;&gt;"",G76&lt;&gt;"",H76&lt;&gt;"",I76&lt;&gt;"",J76&lt;&gt;"",M76&lt;&gt;"",O76&lt;&gt;"",T76&lt;&gt;""),"COMPLETE","MISSING FIELDS")))</f>
        <v/>
      </c>
    </row>
    <row r="77" ht="15" customHeight="1" s="15">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8">
        <f>IF(A77="","",IF(COUNTIF($A$5:$A$154,A77)&gt;1,"DUPLICATE","UNIQUE"))</f>
        <v/>
      </c>
      <c r="W77" s="28">
        <f>IF(A77="","",IF(T77="Rejected","REJECTED",IF(AND(B77&lt;&gt;"",C77&lt;&gt;"",D77&lt;&gt;"",E77&lt;&gt;"",F77&lt;&gt;"",G77&lt;&gt;"",H77&lt;&gt;"",I77&lt;&gt;"",J77&lt;&gt;"",M77&lt;&gt;"",O77&lt;&gt;"",T77&lt;&gt;""),"COMPLETE","MISSING FIELDS")))</f>
        <v/>
      </c>
    </row>
    <row r="78" ht="15" customHeight="1" s="15">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8">
        <f>IF(A78="","",IF(COUNTIF($A$5:$A$154,A78)&gt;1,"DUPLICATE","UNIQUE"))</f>
        <v/>
      </c>
      <c r="W78" s="28">
        <f>IF(A78="","",IF(T78="Rejected","REJECTED",IF(AND(B78&lt;&gt;"",C78&lt;&gt;"",D78&lt;&gt;"",E78&lt;&gt;"",F78&lt;&gt;"",G78&lt;&gt;"",H78&lt;&gt;"",I78&lt;&gt;"",J78&lt;&gt;"",M78&lt;&gt;"",O78&lt;&gt;"",T78&lt;&gt;""),"COMPLETE","MISSING FIELDS")))</f>
        <v/>
      </c>
    </row>
    <row r="79" ht="15" customHeight="1" s="15">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8">
        <f>IF(A79="","",IF(COUNTIF($A$5:$A$154,A79)&gt;1,"DUPLICATE","UNIQUE"))</f>
        <v/>
      </c>
      <c r="W79" s="28">
        <f>IF(A79="","",IF(T79="Rejected","REJECTED",IF(AND(B79&lt;&gt;"",C79&lt;&gt;"",D79&lt;&gt;"",E79&lt;&gt;"",F79&lt;&gt;"",G79&lt;&gt;"",H79&lt;&gt;"",I79&lt;&gt;"",J79&lt;&gt;"",M79&lt;&gt;"",O79&lt;&gt;"",T79&lt;&gt;""),"COMPLETE","MISSING FIELDS")))</f>
        <v/>
      </c>
    </row>
    <row r="80" ht="15" customHeight="1" s="15">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8">
        <f>IF(A80="","",IF(COUNTIF($A$5:$A$154,A80)&gt;1,"DUPLICATE","UNIQUE"))</f>
        <v/>
      </c>
      <c r="W80" s="28">
        <f>IF(A80="","",IF(T80="Rejected","REJECTED",IF(AND(B80&lt;&gt;"",C80&lt;&gt;"",D80&lt;&gt;"",E80&lt;&gt;"",F80&lt;&gt;"",G80&lt;&gt;"",H80&lt;&gt;"",I80&lt;&gt;"",J80&lt;&gt;"",M80&lt;&gt;"",O80&lt;&gt;"",T80&lt;&gt;""),"COMPLETE","MISSING FIELDS")))</f>
        <v/>
      </c>
    </row>
    <row r="81" ht="15" customHeight="1" s="15">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8">
        <f>IF(A81="","",IF(COUNTIF($A$5:$A$154,A81)&gt;1,"DUPLICATE","UNIQUE"))</f>
        <v/>
      </c>
      <c r="W81" s="28">
        <f>IF(A81="","",IF(T81="Rejected","REJECTED",IF(AND(B81&lt;&gt;"",C81&lt;&gt;"",D81&lt;&gt;"",E81&lt;&gt;"",F81&lt;&gt;"",G81&lt;&gt;"",H81&lt;&gt;"",I81&lt;&gt;"",J81&lt;&gt;"",M81&lt;&gt;"",O81&lt;&gt;"",T81&lt;&gt;""),"COMPLETE","MISSING FIELDS")))</f>
        <v/>
      </c>
    </row>
    <row r="82" ht="15" customHeight="1" s="15">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8">
        <f>IF(A82="","",IF(COUNTIF($A$5:$A$154,A82)&gt;1,"DUPLICATE","UNIQUE"))</f>
        <v/>
      </c>
      <c r="W82" s="28">
        <f>IF(A82="","",IF(T82="Rejected","REJECTED",IF(AND(B82&lt;&gt;"",C82&lt;&gt;"",D82&lt;&gt;"",E82&lt;&gt;"",F82&lt;&gt;"",G82&lt;&gt;"",H82&lt;&gt;"",I82&lt;&gt;"",J82&lt;&gt;"",M82&lt;&gt;"",O82&lt;&gt;"",T82&lt;&gt;""),"COMPLETE","MISSING FIELDS")))</f>
        <v/>
      </c>
    </row>
    <row r="83" ht="15" customHeight="1" s="15">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8">
        <f>IF(A83="","",IF(COUNTIF($A$5:$A$154,A83)&gt;1,"DUPLICATE","UNIQUE"))</f>
        <v/>
      </c>
      <c r="W83" s="28">
        <f>IF(A83="","",IF(T83="Rejected","REJECTED",IF(AND(B83&lt;&gt;"",C83&lt;&gt;"",D83&lt;&gt;"",E83&lt;&gt;"",F83&lt;&gt;"",G83&lt;&gt;"",H83&lt;&gt;"",I83&lt;&gt;"",J83&lt;&gt;"",M83&lt;&gt;"",O83&lt;&gt;"",T83&lt;&gt;""),"COMPLETE","MISSING FIELDS")))</f>
        <v/>
      </c>
    </row>
    <row r="84" ht="15" customHeight="1" s="15">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8">
        <f>IF(A84="","",IF(COUNTIF($A$5:$A$154,A84)&gt;1,"DUPLICATE","UNIQUE"))</f>
        <v/>
      </c>
      <c r="W84" s="28">
        <f>IF(A84="","",IF(T84="Rejected","REJECTED",IF(AND(B84&lt;&gt;"",C84&lt;&gt;"",D84&lt;&gt;"",E84&lt;&gt;"",F84&lt;&gt;"",G84&lt;&gt;"",H84&lt;&gt;"",I84&lt;&gt;"",J84&lt;&gt;"",M84&lt;&gt;"",O84&lt;&gt;"",T84&lt;&gt;""),"COMPLETE","MISSING FIELDS")))</f>
        <v/>
      </c>
    </row>
    <row r="85" ht="15" customHeight="1" s="1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8">
        <f>IF(A85="","",IF(COUNTIF($A$5:$A$154,A85)&gt;1,"DUPLICATE","UNIQUE"))</f>
        <v/>
      </c>
      <c r="W85" s="28">
        <f>IF(A85="","",IF(T85="Rejected","REJECTED",IF(AND(B85&lt;&gt;"",C85&lt;&gt;"",D85&lt;&gt;"",E85&lt;&gt;"",F85&lt;&gt;"",G85&lt;&gt;"",H85&lt;&gt;"",I85&lt;&gt;"",J85&lt;&gt;"",M85&lt;&gt;"",O85&lt;&gt;"",T85&lt;&gt;""),"COMPLETE","MISSING FIELDS")))</f>
        <v/>
      </c>
    </row>
    <row r="86" ht="15" customHeight="1" s="15">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8">
        <f>IF(A86="","",IF(COUNTIF($A$5:$A$154,A86)&gt;1,"DUPLICATE","UNIQUE"))</f>
        <v/>
      </c>
      <c r="W86" s="28">
        <f>IF(A86="","",IF(T86="Rejected","REJECTED",IF(AND(B86&lt;&gt;"",C86&lt;&gt;"",D86&lt;&gt;"",E86&lt;&gt;"",F86&lt;&gt;"",G86&lt;&gt;"",H86&lt;&gt;"",I86&lt;&gt;"",J86&lt;&gt;"",M86&lt;&gt;"",O86&lt;&gt;"",T86&lt;&gt;""),"COMPLETE","MISSING FIELDS")))</f>
        <v/>
      </c>
    </row>
    <row r="87" ht="15" customHeight="1" s="15">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8">
        <f>IF(A87="","",IF(COUNTIF($A$5:$A$154,A87)&gt;1,"DUPLICATE","UNIQUE"))</f>
        <v/>
      </c>
      <c r="W87" s="28">
        <f>IF(A87="","",IF(T87="Rejected","REJECTED",IF(AND(B87&lt;&gt;"",C87&lt;&gt;"",D87&lt;&gt;"",E87&lt;&gt;"",F87&lt;&gt;"",G87&lt;&gt;"",H87&lt;&gt;"",I87&lt;&gt;"",J87&lt;&gt;"",M87&lt;&gt;"",O87&lt;&gt;"",T87&lt;&gt;""),"COMPLETE","MISSING FIELDS")))</f>
        <v/>
      </c>
    </row>
    <row r="88" ht="15" customHeight="1" s="15">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8">
        <f>IF(A88="","",IF(COUNTIF($A$5:$A$154,A88)&gt;1,"DUPLICATE","UNIQUE"))</f>
        <v/>
      </c>
      <c r="W88" s="28">
        <f>IF(A88="","",IF(T88="Rejected","REJECTED",IF(AND(B88&lt;&gt;"",C88&lt;&gt;"",D88&lt;&gt;"",E88&lt;&gt;"",F88&lt;&gt;"",G88&lt;&gt;"",H88&lt;&gt;"",I88&lt;&gt;"",J88&lt;&gt;"",M88&lt;&gt;"",O88&lt;&gt;"",T88&lt;&gt;""),"COMPLETE","MISSING FIELDS")))</f>
        <v/>
      </c>
    </row>
    <row r="89" ht="15" customHeight="1" s="15">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8">
        <f>IF(A89="","",IF(COUNTIF($A$5:$A$154,A89)&gt;1,"DUPLICATE","UNIQUE"))</f>
        <v/>
      </c>
      <c r="W89" s="28">
        <f>IF(A89="","",IF(T89="Rejected","REJECTED",IF(AND(B89&lt;&gt;"",C89&lt;&gt;"",D89&lt;&gt;"",E89&lt;&gt;"",F89&lt;&gt;"",G89&lt;&gt;"",H89&lt;&gt;"",I89&lt;&gt;"",J89&lt;&gt;"",M89&lt;&gt;"",O89&lt;&gt;"",T89&lt;&gt;""),"COMPLETE","MISSING FIELDS")))</f>
        <v/>
      </c>
    </row>
    <row r="90" ht="15" customHeight="1" s="15">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8">
        <f>IF(A90="","",IF(COUNTIF($A$5:$A$154,A90)&gt;1,"DUPLICATE","UNIQUE"))</f>
        <v/>
      </c>
      <c r="W90" s="28">
        <f>IF(A90="","",IF(T90="Rejected","REJECTED",IF(AND(B90&lt;&gt;"",C90&lt;&gt;"",D90&lt;&gt;"",E90&lt;&gt;"",F90&lt;&gt;"",G90&lt;&gt;"",H90&lt;&gt;"",I90&lt;&gt;"",J90&lt;&gt;"",M90&lt;&gt;"",O90&lt;&gt;"",T90&lt;&gt;""),"COMPLETE","MISSING FIELDS")))</f>
        <v/>
      </c>
    </row>
    <row r="91" ht="15" customHeight="1" s="15">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8">
        <f>IF(A91="","",IF(COUNTIF($A$5:$A$154,A91)&gt;1,"DUPLICATE","UNIQUE"))</f>
        <v/>
      </c>
      <c r="W91" s="28">
        <f>IF(A91="","",IF(T91="Rejected","REJECTED",IF(AND(B91&lt;&gt;"",C91&lt;&gt;"",D91&lt;&gt;"",E91&lt;&gt;"",F91&lt;&gt;"",G91&lt;&gt;"",H91&lt;&gt;"",I91&lt;&gt;"",J91&lt;&gt;"",M91&lt;&gt;"",O91&lt;&gt;"",T91&lt;&gt;""),"COMPLETE","MISSING FIELDS")))</f>
        <v/>
      </c>
    </row>
    <row r="92" ht="15" customHeight="1" s="15">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8">
        <f>IF(A92="","",IF(COUNTIF($A$5:$A$154,A92)&gt;1,"DUPLICATE","UNIQUE"))</f>
        <v/>
      </c>
      <c r="W92" s="28">
        <f>IF(A92="","",IF(T92="Rejected","REJECTED",IF(AND(B92&lt;&gt;"",C92&lt;&gt;"",D92&lt;&gt;"",E92&lt;&gt;"",F92&lt;&gt;"",G92&lt;&gt;"",H92&lt;&gt;"",I92&lt;&gt;"",J92&lt;&gt;"",M92&lt;&gt;"",O92&lt;&gt;"",T92&lt;&gt;""),"COMPLETE","MISSING FIELDS")))</f>
        <v/>
      </c>
    </row>
    <row r="93" ht="15" customHeight="1" s="15">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8">
        <f>IF(A93="","",IF(COUNTIF($A$5:$A$154,A93)&gt;1,"DUPLICATE","UNIQUE"))</f>
        <v/>
      </c>
      <c r="W93" s="28">
        <f>IF(A93="","",IF(T93="Rejected","REJECTED",IF(AND(B93&lt;&gt;"",C93&lt;&gt;"",D93&lt;&gt;"",E93&lt;&gt;"",F93&lt;&gt;"",G93&lt;&gt;"",H93&lt;&gt;"",I93&lt;&gt;"",J93&lt;&gt;"",M93&lt;&gt;"",O93&lt;&gt;"",T93&lt;&gt;""),"COMPLETE","MISSING FIELDS")))</f>
        <v/>
      </c>
    </row>
    <row r="94" ht="15" customHeight="1" s="15">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8">
        <f>IF(A94="","",IF(COUNTIF($A$5:$A$154,A94)&gt;1,"DUPLICATE","UNIQUE"))</f>
        <v/>
      </c>
      <c r="W94" s="28">
        <f>IF(A94="","",IF(T94="Rejected","REJECTED",IF(AND(B94&lt;&gt;"",C94&lt;&gt;"",D94&lt;&gt;"",E94&lt;&gt;"",F94&lt;&gt;"",G94&lt;&gt;"",H94&lt;&gt;"",I94&lt;&gt;"",J94&lt;&gt;"",M94&lt;&gt;"",O94&lt;&gt;"",T94&lt;&gt;""),"COMPLETE","MISSING FIELDS")))</f>
        <v/>
      </c>
    </row>
    <row r="95" ht="15" customHeight="1" s="1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8">
        <f>IF(A95="","",IF(COUNTIF($A$5:$A$154,A95)&gt;1,"DUPLICATE","UNIQUE"))</f>
        <v/>
      </c>
      <c r="W95" s="28">
        <f>IF(A95="","",IF(T95="Rejected","REJECTED",IF(AND(B95&lt;&gt;"",C95&lt;&gt;"",D95&lt;&gt;"",E95&lt;&gt;"",F95&lt;&gt;"",G95&lt;&gt;"",H95&lt;&gt;"",I95&lt;&gt;"",J95&lt;&gt;"",M95&lt;&gt;"",O95&lt;&gt;"",T95&lt;&gt;""),"COMPLETE","MISSING FIELDS")))</f>
        <v/>
      </c>
    </row>
    <row r="96" ht="15" customHeight="1" s="15">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8">
        <f>IF(A96="","",IF(COUNTIF($A$5:$A$154,A96)&gt;1,"DUPLICATE","UNIQUE"))</f>
        <v/>
      </c>
      <c r="W96" s="28">
        <f>IF(A96="","",IF(T96="Rejected","REJECTED",IF(AND(B96&lt;&gt;"",C96&lt;&gt;"",D96&lt;&gt;"",E96&lt;&gt;"",F96&lt;&gt;"",G96&lt;&gt;"",H96&lt;&gt;"",I96&lt;&gt;"",J96&lt;&gt;"",M96&lt;&gt;"",O96&lt;&gt;"",T96&lt;&gt;""),"COMPLETE","MISSING FIELDS")))</f>
        <v/>
      </c>
    </row>
    <row r="97" ht="15" customHeight="1" s="15">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8">
        <f>IF(A97="","",IF(COUNTIF($A$5:$A$154,A97)&gt;1,"DUPLICATE","UNIQUE"))</f>
        <v/>
      </c>
      <c r="W97" s="28">
        <f>IF(A97="","",IF(T97="Rejected","REJECTED",IF(AND(B97&lt;&gt;"",C97&lt;&gt;"",D97&lt;&gt;"",E97&lt;&gt;"",F97&lt;&gt;"",G97&lt;&gt;"",H97&lt;&gt;"",I97&lt;&gt;"",J97&lt;&gt;"",M97&lt;&gt;"",O97&lt;&gt;"",T97&lt;&gt;""),"COMPLETE","MISSING FIELDS")))</f>
        <v/>
      </c>
    </row>
    <row r="98" ht="15" customHeight="1" s="15">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8">
        <f>IF(A98="","",IF(COUNTIF($A$5:$A$154,A98)&gt;1,"DUPLICATE","UNIQUE"))</f>
        <v/>
      </c>
      <c r="W98" s="28">
        <f>IF(A98="","",IF(T98="Rejected","REJECTED",IF(AND(B98&lt;&gt;"",C98&lt;&gt;"",D98&lt;&gt;"",E98&lt;&gt;"",F98&lt;&gt;"",G98&lt;&gt;"",H98&lt;&gt;"",I98&lt;&gt;"",J98&lt;&gt;"",M98&lt;&gt;"",O98&lt;&gt;"",T98&lt;&gt;""),"COMPLETE","MISSING FIELDS")))</f>
        <v/>
      </c>
    </row>
    <row r="99" ht="15" customHeight="1" s="15">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8">
        <f>IF(A99="","",IF(COUNTIF($A$5:$A$154,A99)&gt;1,"DUPLICATE","UNIQUE"))</f>
        <v/>
      </c>
      <c r="W99" s="28">
        <f>IF(A99="","",IF(T99="Rejected","REJECTED",IF(AND(B99&lt;&gt;"",C99&lt;&gt;"",D99&lt;&gt;"",E99&lt;&gt;"",F99&lt;&gt;"",G99&lt;&gt;"",H99&lt;&gt;"",I99&lt;&gt;"",J99&lt;&gt;"",M99&lt;&gt;"",O99&lt;&gt;"",T99&lt;&gt;""),"COMPLETE","MISSING FIELDS")))</f>
        <v/>
      </c>
    </row>
    <row r="100" ht="15" customHeight="1" s="15">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8">
        <f>IF(A100="","",IF(COUNTIF($A$5:$A$154,A100)&gt;1,"DUPLICATE","UNIQUE"))</f>
        <v/>
      </c>
      <c r="W100" s="28">
        <f>IF(A100="","",IF(T100="Rejected","REJECTED",IF(AND(B100&lt;&gt;"",C100&lt;&gt;"",D100&lt;&gt;"",E100&lt;&gt;"",F100&lt;&gt;"",G100&lt;&gt;"",H100&lt;&gt;"",I100&lt;&gt;"",J100&lt;&gt;"",M100&lt;&gt;"",O100&lt;&gt;"",T100&lt;&gt;""),"COMPLETE","MISSING FIELDS")))</f>
        <v/>
      </c>
    </row>
    <row r="101" ht="15" customHeight="1" s="15">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8">
        <f>IF(A101="","",IF(COUNTIF($A$5:$A$154,A101)&gt;1,"DUPLICATE","UNIQUE"))</f>
        <v/>
      </c>
      <c r="W101" s="28">
        <f>IF(A101="","",IF(T101="Rejected","REJECTED",IF(AND(B101&lt;&gt;"",C101&lt;&gt;"",D101&lt;&gt;"",E101&lt;&gt;"",F101&lt;&gt;"",G101&lt;&gt;"",H101&lt;&gt;"",I101&lt;&gt;"",J101&lt;&gt;"",M101&lt;&gt;"",O101&lt;&gt;"",T101&lt;&gt;""),"COMPLETE","MISSING FIELDS")))</f>
        <v/>
      </c>
    </row>
    <row r="102" ht="15" customHeight="1" s="15">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8">
        <f>IF(A102="","",IF(COUNTIF($A$5:$A$154,A102)&gt;1,"DUPLICATE","UNIQUE"))</f>
        <v/>
      </c>
      <c r="W102" s="28">
        <f>IF(A102="","",IF(T102="Rejected","REJECTED",IF(AND(B102&lt;&gt;"",C102&lt;&gt;"",D102&lt;&gt;"",E102&lt;&gt;"",F102&lt;&gt;"",G102&lt;&gt;"",H102&lt;&gt;"",I102&lt;&gt;"",J102&lt;&gt;"",M102&lt;&gt;"",O102&lt;&gt;"",T102&lt;&gt;""),"COMPLETE","MISSING FIELDS")))</f>
        <v/>
      </c>
    </row>
    <row r="103" ht="15" customHeight="1" s="15">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8">
        <f>IF(A103="","",IF(COUNTIF($A$5:$A$154,A103)&gt;1,"DUPLICATE","UNIQUE"))</f>
        <v/>
      </c>
      <c r="W103" s="28">
        <f>IF(A103="","",IF(T103="Rejected","REJECTED",IF(AND(B103&lt;&gt;"",C103&lt;&gt;"",D103&lt;&gt;"",E103&lt;&gt;"",F103&lt;&gt;"",G103&lt;&gt;"",H103&lt;&gt;"",I103&lt;&gt;"",J103&lt;&gt;"",M103&lt;&gt;"",O103&lt;&gt;"",T103&lt;&gt;""),"COMPLETE","MISSING FIELDS")))</f>
        <v/>
      </c>
    </row>
    <row r="104" ht="15" customHeight="1" s="15">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8">
        <f>IF(A104="","",IF(COUNTIF($A$5:$A$154,A104)&gt;1,"DUPLICATE","UNIQUE"))</f>
        <v/>
      </c>
      <c r="W104" s="28">
        <f>IF(A104="","",IF(T104="Rejected","REJECTED",IF(AND(B104&lt;&gt;"",C104&lt;&gt;"",D104&lt;&gt;"",E104&lt;&gt;"",F104&lt;&gt;"",G104&lt;&gt;"",H104&lt;&gt;"",I104&lt;&gt;"",J104&lt;&gt;"",M104&lt;&gt;"",O104&lt;&gt;"",T104&lt;&gt;""),"COMPLETE","MISSING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8">
        <f>IF(A105="","",IF(COUNTIF($A$5:$A$154,A105)&gt;1,"DUPLICATE","UNIQUE"))</f>
        <v/>
      </c>
      <c r="W105" s="28">
        <f>IF(A105="","",IF(T105="Rejected","REJECTED",IF(AND(B105&lt;&gt;"",C105&lt;&gt;"",D105&lt;&gt;"",E105&lt;&gt;"",F105&lt;&gt;"",G105&lt;&gt;"",H105&lt;&gt;"",I105&lt;&gt;"",J105&lt;&gt;"",M105&lt;&gt;"",O105&lt;&gt;"",T105&lt;&gt;""),"COMPLETE","MISSING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8">
        <f>IF(A106="","",IF(COUNTIF($A$5:$A$154,A106)&gt;1,"DUPLICATE","UNIQUE"))</f>
        <v/>
      </c>
      <c r="W106" s="28">
        <f>IF(A106="","",IF(T106="Rejected","REJECTED",IF(AND(B106&lt;&gt;"",C106&lt;&gt;"",D106&lt;&gt;"",E106&lt;&gt;"",F106&lt;&gt;"",G106&lt;&gt;"",H106&lt;&gt;"",I106&lt;&gt;"",J106&lt;&gt;"",M106&lt;&gt;"",O106&lt;&gt;"",T106&lt;&gt;""),"COMPLETE","MISSING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8">
        <f>IF(A107="","",IF(COUNTIF($A$5:$A$154,A107)&gt;1,"DUPLICATE","UNIQUE"))</f>
        <v/>
      </c>
      <c r="W107" s="28">
        <f>IF(A107="","",IF(T107="Rejected","REJECTED",IF(AND(B107&lt;&gt;"",C107&lt;&gt;"",D107&lt;&gt;"",E107&lt;&gt;"",F107&lt;&gt;"",G107&lt;&gt;"",H107&lt;&gt;"",I107&lt;&gt;"",J107&lt;&gt;"",M107&lt;&gt;"",O107&lt;&gt;"",T107&lt;&gt;""),"COMPLETE","MISSING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8">
        <f>IF(A108="","",IF(COUNTIF($A$5:$A$154,A108)&gt;1,"DUPLICATE","UNIQUE"))</f>
        <v/>
      </c>
      <c r="W108" s="28">
        <f>IF(A108="","",IF(T108="Rejected","REJECTED",IF(AND(B108&lt;&gt;"",C108&lt;&gt;"",D108&lt;&gt;"",E108&lt;&gt;"",F108&lt;&gt;"",G108&lt;&gt;"",H108&lt;&gt;"",I108&lt;&gt;"",J108&lt;&gt;"",M108&lt;&gt;"",O108&lt;&gt;"",T108&lt;&gt;""),"COMPLETE","MISSING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8">
        <f>IF(A109="","",IF(COUNTIF($A$5:$A$154,A109)&gt;1,"DUPLICATE","UNIQUE"))</f>
        <v/>
      </c>
      <c r="W109" s="28">
        <f>IF(A109="","",IF(T109="Rejected","REJECTED",IF(AND(B109&lt;&gt;"",C109&lt;&gt;"",D109&lt;&gt;"",E109&lt;&gt;"",F109&lt;&gt;"",G109&lt;&gt;"",H109&lt;&gt;"",I109&lt;&gt;"",J109&lt;&gt;"",M109&lt;&gt;"",O109&lt;&gt;"",T109&lt;&gt;""),"COMPLETE","MISSING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8">
        <f>IF(A110="","",IF(COUNTIF($A$5:$A$154,A110)&gt;1,"DUPLICATE","UNIQUE"))</f>
        <v/>
      </c>
      <c r="W110" s="28">
        <f>IF(A110="","",IF(T110="Rejected","REJECTED",IF(AND(B110&lt;&gt;"",C110&lt;&gt;"",D110&lt;&gt;"",E110&lt;&gt;"",F110&lt;&gt;"",G110&lt;&gt;"",H110&lt;&gt;"",I110&lt;&gt;"",J110&lt;&gt;"",M110&lt;&gt;"",O110&lt;&gt;"",T110&lt;&gt;""),"COMPLETE","MISSING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8">
        <f>IF(A111="","",IF(COUNTIF($A$5:$A$154,A111)&gt;1,"DUPLICATE","UNIQUE"))</f>
        <v/>
      </c>
      <c r="W111" s="28">
        <f>IF(A111="","",IF(T111="Rejected","REJECTED",IF(AND(B111&lt;&gt;"",C111&lt;&gt;"",D111&lt;&gt;"",E111&lt;&gt;"",F111&lt;&gt;"",G111&lt;&gt;"",H111&lt;&gt;"",I111&lt;&gt;"",J111&lt;&gt;"",M111&lt;&gt;"",O111&lt;&gt;"",T111&lt;&gt;""),"COMPLETE","MISSING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8">
        <f>IF(A112="","",IF(COUNTIF($A$5:$A$154,A112)&gt;1,"DUPLICATE","UNIQUE"))</f>
        <v/>
      </c>
      <c r="W112" s="28">
        <f>IF(A112="","",IF(T112="Rejected","REJECTED",IF(AND(B112&lt;&gt;"",C112&lt;&gt;"",D112&lt;&gt;"",E112&lt;&gt;"",F112&lt;&gt;"",G112&lt;&gt;"",H112&lt;&gt;"",I112&lt;&gt;"",J112&lt;&gt;"",M112&lt;&gt;"",O112&lt;&gt;"",T112&lt;&gt;""),"COMPLETE","MISSING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8">
        <f>IF(A113="","",IF(COUNTIF($A$5:$A$154,A113)&gt;1,"DUPLICATE","UNIQUE"))</f>
        <v/>
      </c>
      <c r="W113" s="28">
        <f>IF(A113="","",IF(T113="Rejected","REJECTED",IF(AND(B113&lt;&gt;"",C113&lt;&gt;"",D113&lt;&gt;"",E113&lt;&gt;"",F113&lt;&gt;"",G113&lt;&gt;"",H113&lt;&gt;"",I113&lt;&gt;"",J113&lt;&gt;"",M113&lt;&gt;"",O113&lt;&gt;"",T113&lt;&gt;""),"COMPLETE","MISSING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8">
        <f>IF(A114="","",IF(COUNTIF($A$5:$A$154,A114)&gt;1,"DUPLICATE","UNIQUE"))</f>
        <v/>
      </c>
      <c r="W114" s="28">
        <f>IF(A114="","",IF(T114="Rejected","REJECTED",IF(AND(B114&lt;&gt;"",C114&lt;&gt;"",D114&lt;&gt;"",E114&lt;&gt;"",F114&lt;&gt;"",G114&lt;&gt;"",H114&lt;&gt;"",I114&lt;&gt;"",J114&lt;&gt;"",M114&lt;&gt;"",O114&lt;&gt;"",T114&lt;&gt;""),"COMPLETE","MISSING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8">
        <f>IF(A115="","",IF(COUNTIF($A$5:$A$154,A115)&gt;1,"DUPLICATE","UNIQUE"))</f>
        <v/>
      </c>
      <c r="W115" s="28">
        <f>IF(A115="","",IF(T115="Rejected","REJECTED",IF(AND(B115&lt;&gt;"",C115&lt;&gt;"",D115&lt;&gt;"",E115&lt;&gt;"",F115&lt;&gt;"",G115&lt;&gt;"",H115&lt;&gt;"",I115&lt;&gt;"",J115&lt;&gt;"",M115&lt;&gt;"",O115&lt;&gt;"",T115&lt;&gt;""),"COMPLETE","MISSING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8">
        <f>IF(A116="","",IF(COUNTIF($A$5:$A$154,A116)&gt;1,"DUPLICATE","UNIQUE"))</f>
        <v/>
      </c>
      <c r="W116" s="28">
        <f>IF(A116="","",IF(T116="Rejected","REJECTED",IF(AND(B116&lt;&gt;"",C116&lt;&gt;"",D116&lt;&gt;"",E116&lt;&gt;"",F116&lt;&gt;"",G116&lt;&gt;"",H116&lt;&gt;"",I116&lt;&gt;"",J116&lt;&gt;"",M116&lt;&gt;"",O116&lt;&gt;"",T116&lt;&gt;""),"COMPLETE","MISSING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8">
        <f>IF(A117="","",IF(COUNTIF($A$5:$A$154,A117)&gt;1,"DUPLICATE","UNIQUE"))</f>
        <v/>
      </c>
      <c r="W117" s="28">
        <f>IF(A117="","",IF(T117="Rejected","REJECTED",IF(AND(B117&lt;&gt;"",C117&lt;&gt;"",D117&lt;&gt;"",E117&lt;&gt;"",F117&lt;&gt;"",G117&lt;&gt;"",H117&lt;&gt;"",I117&lt;&gt;"",J117&lt;&gt;"",M117&lt;&gt;"",O117&lt;&gt;"",T117&lt;&gt;""),"COMPLETE","MISSING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8">
        <f>IF(A118="","",IF(COUNTIF($A$5:$A$154,A118)&gt;1,"DUPLICATE","UNIQUE"))</f>
        <v/>
      </c>
      <c r="W118" s="28">
        <f>IF(A118="","",IF(T118="Rejected","REJECTED",IF(AND(B118&lt;&gt;"",C118&lt;&gt;"",D118&lt;&gt;"",E118&lt;&gt;"",F118&lt;&gt;"",G118&lt;&gt;"",H118&lt;&gt;"",I118&lt;&gt;"",J118&lt;&gt;"",M118&lt;&gt;"",O118&lt;&gt;"",T118&lt;&gt;""),"COMPLETE","MISSING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8">
        <f>IF(A119="","",IF(COUNTIF($A$5:$A$154,A119)&gt;1,"DUPLICATE","UNIQUE"))</f>
        <v/>
      </c>
      <c r="W119" s="28">
        <f>IF(A119="","",IF(T119="Rejected","REJECTED",IF(AND(B119&lt;&gt;"",C119&lt;&gt;"",D119&lt;&gt;"",E119&lt;&gt;"",F119&lt;&gt;"",G119&lt;&gt;"",H119&lt;&gt;"",I119&lt;&gt;"",J119&lt;&gt;"",M119&lt;&gt;"",O119&lt;&gt;"",T119&lt;&gt;""),"COMPLETE","MISSING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8">
        <f>IF(A120="","",IF(COUNTIF($A$5:$A$154,A120)&gt;1,"DUPLICATE","UNIQUE"))</f>
        <v/>
      </c>
      <c r="W120" s="28">
        <f>IF(A120="","",IF(T120="Rejected","REJECTED",IF(AND(B120&lt;&gt;"",C120&lt;&gt;"",D120&lt;&gt;"",E120&lt;&gt;"",F120&lt;&gt;"",G120&lt;&gt;"",H120&lt;&gt;"",I120&lt;&gt;"",J120&lt;&gt;"",M120&lt;&gt;"",O120&lt;&gt;"",T120&lt;&gt;""),"COMPLETE","MISSING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8">
        <f>IF(A121="","",IF(COUNTIF($A$5:$A$154,A121)&gt;1,"DUPLICATE","UNIQUE"))</f>
        <v/>
      </c>
      <c r="W121" s="28">
        <f>IF(A121="","",IF(T121="Rejected","REJECTED",IF(AND(B121&lt;&gt;"",C121&lt;&gt;"",D121&lt;&gt;"",E121&lt;&gt;"",F121&lt;&gt;"",G121&lt;&gt;"",H121&lt;&gt;"",I121&lt;&gt;"",J121&lt;&gt;"",M121&lt;&gt;"",O121&lt;&gt;"",T121&lt;&gt;""),"COMPLETE","MISSING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8">
        <f>IF(A122="","",IF(COUNTIF($A$5:$A$154,A122)&gt;1,"DUPLICATE","UNIQUE"))</f>
        <v/>
      </c>
      <c r="W122" s="28">
        <f>IF(A122="","",IF(T122="Rejected","REJECTED",IF(AND(B122&lt;&gt;"",C122&lt;&gt;"",D122&lt;&gt;"",E122&lt;&gt;"",F122&lt;&gt;"",G122&lt;&gt;"",H122&lt;&gt;"",I122&lt;&gt;"",J122&lt;&gt;"",M122&lt;&gt;"",O122&lt;&gt;"",T122&lt;&gt;""),"COMPLETE","MISSING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8">
        <f>IF(A123="","",IF(COUNTIF($A$5:$A$154,A123)&gt;1,"DUPLICATE","UNIQUE"))</f>
        <v/>
      </c>
      <c r="W123" s="28">
        <f>IF(A123="","",IF(T123="Rejected","REJECTED",IF(AND(B123&lt;&gt;"",C123&lt;&gt;"",D123&lt;&gt;"",E123&lt;&gt;"",F123&lt;&gt;"",G123&lt;&gt;"",H123&lt;&gt;"",I123&lt;&gt;"",J123&lt;&gt;"",M123&lt;&gt;"",O123&lt;&gt;"",T123&lt;&gt;""),"COMPLETE","MISSING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8">
        <f>IF(A124="","",IF(COUNTIF($A$5:$A$154,A124)&gt;1,"DUPLICATE","UNIQUE"))</f>
        <v/>
      </c>
      <c r="W124" s="28">
        <f>IF(A124="","",IF(T124="Rejected","REJECTED",IF(AND(B124&lt;&gt;"",C124&lt;&gt;"",D124&lt;&gt;"",E124&lt;&gt;"",F124&lt;&gt;"",G124&lt;&gt;"",H124&lt;&gt;"",I124&lt;&gt;"",J124&lt;&gt;"",M124&lt;&gt;"",O124&lt;&gt;"",T124&lt;&gt;""),"COMPLETE","MISSING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8">
        <f>IF(A125="","",IF(COUNTIF($A$5:$A$154,A125)&gt;1,"DUPLICATE","UNIQUE"))</f>
        <v/>
      </c>
      <c r="W125" s="28">
        <f>IF(A125="","",IF(T125="Rejected","REJECTED",IF(AND(B125&lt;&gt;"",C125&lt;&gt;"",D125&lt;&gt;"",E125&lt;&gt;"",F125&lt;&gt;"",G125&lt;&gt;"",H125&lt;&gt;"",I125&lt;&gt;"",J125&lt;&gt;"",M125&lt;&gt;"",O125&lt;&gt;"",T125&lt;&gt;""),"COMPLETE","MISSING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8">
        <f>IF(A126="","",IF(COUNTIF($A$5:$A$154,A126)&gt;1,"DUPLICATE","UNIQUE"))</f>
        <v/>
      </c>
      <c r="W126" s="28">
        <f>IF(A126="","",IF(T126="Rejected","REJECTED",IF(AND(B126&lt;&gt;"",C126&lt;&gt;"",D126&lt;&gt;"",E126&lt;&gt;"",F126&lt;&gt;"",G126&lt;&gt;"",H126&lt;&gt;"",I126&lt;&gt;"",J126&lt;&gt;"",M126&lt;&gt;"",O126&lt;&gt;"",T126&lt;&gt;""),"COMPLETE","MISSING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8">
        <f>IF(A127="","",IF(COUNTIF($A$5:$A$154,A127)&gt;1,"DUPLICATE","UNIQUE"))</f>
        <v/>
      </c>
      <c r="W127" s="28">
        <f>IF(A127="","",IF(T127="Rejected","REJECTED",IF(AND(B127&lt;&gt;"",C127&lt;&gt;"",D127&lt;&gt;"",E127&lt;&gt;"",F127&lt;&gt;"",G127&lt;&gt;"",H127&lt;&gt;"",I127&lt;&gt;"",J127&lt;&gt;"",M127&lt;&gt;"",O127&lt;&gt;"",T127&lt;&gt;""),"COMPLETE","MISSING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8">
        <f>IF(A128="","",IF(COUNTIF($A$5:$A$154,A128)&gt;1,"DUPLICATE","UNIQUE"))</f>
        <v/>
      </c>
      <c r="W128" s="28">
        <f>IF(A128="","",IF(T128="Rejected","REJECTED",IF(AND(B128&lt;&gt;"",C128&lt;&gt;"",D128&lt;&gt;"",E128&lt;&gt;"",F128&lt;&gt;"",G128&lt;&gt;"",H128&lt;&gt;"",I128&lt;&gt;"",J128&lt;&gt;"",M128&lt;&gt;"",O128&lt;&gt;"",T128&lt;&gt;""),"COMPLETE","MISSING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8">
        <f>IF(A129="","",IF(COUNTIF($A$5:$A$154,A129)&gt;1,"DUPLICATE","UNIQUE"))</f>
        <v/>
      </c>
      <c r="W129" s="28">
        <f>IF(A129="","",IF(T129="Rejected","REJECTED",IF(AND(B129&lt;&gt;"",C129&lt;&gt;"",D129&lt;&gt;"",E129&lt;&gt;"",F129&lt;&gt;"",G129&lt;&gt;"",H129&lt;&gt;"",I129&lt;&gt;"",J129&lt;&gt;"",M129&lt;&gt;"",O129&lt;&gt;"",T129&lt;&gt;""),"COMPLETE","MISSING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8">
        <f>IF(A130="","",IF(COUNTIF($A$5:$A$154,A130)&gt;1,"DUPLICATE","UNIQUE"))</f>
        <v/>
      </c>
      <c r="W130" s="28">
        <f>IF(A130="","",IF(T130="Rejected","REJECTED",IF(AND(B130&lt;&gt;"",C130&lt;&gt;"",D130&lt;&gt;"",E130&lt;&gt;"",F130&lt;&gt;"",G130&lt;&gt;"",H130&lt;&gt;"",I130&lt;&gt;"",J130&lt;&gt;"",M130&lt;&gt;"",O130&lt;&gt;"",T130&lt;&gt;""),"COMPLETE","MISSING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8">
        <f>IF(A131="","",IF(COUNTIF($A$5:$A$154,A131)&gt;1,"DUPLICATE","UNIQUE"))</f>
        <v/>
      </c>
      <c r="W131" s="28">
        <f>IF(A131="","",IF(T131="Rejected","REJECTED",IF(AND(B131&lt;&gt;"",C131&lt;&gt;"",D131&lt;&gt;"",E131&lt;&gt;"",F131&lt;&gt;"",G131&lt;&gt;"",H131&lt;&gt;"",I131&lt;&gt;"",J131&lt;&gt;"",M131&lt;&gt;"",O131&lt;&gt;"",T131&lt;&gt;""),"COMPLETE","MISSING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8">
        <f>IF(A132="","",IF(COUNTIF($A$5:$A$154,A132)&gt;1,"DUPLICATE","UNIQUE"))</f>
        <v/>
      </c>
      <c r="W132" s="28">
        <f>IF(A132="","",IF(T132="Rejected","REJECTED",IF(AND(B132&lt;&gt;"",C132&lt;&gt;"",D132&lt;&gt;"",E132&lt;&gt;"",F132&lt;&gt;"",G132&lt;&gt;"",H132&lt;&gt;"",I132&lt;&gt;"",J132&lt;&gt;"",M132&lt;&gt;"",O132&lt;&gt;"",T132&lt;&gt;""),"COMPLETE","MISSING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8">
        <f>IF(A133="","",IF(COUNTIF($A$5:$A$154,A133)&gt;1,"DUPLICATE","UNIQUE"))</f>
        <v/>
      </c>
      <c r="W133" s="28">
        <f>IF(A133="","",IF(T133="Rejected","REJECTED",IF(AND(B133&lt;&gt;"",C133&lt;&gt;"",D133&lt;&gt;"",E133&lt;&gt;"",F133&lt;&gt;"",G133&lt;&gt;"",H133&lt;&gt;"",I133&lt;&gt;"",J133&lt;&gt;"",M133&lt;&gt;"",O133&lt;&gt;"",T133&lt;&gt;""),"COMPLETE","MISSING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8">
        <f>IF(A134="","",IF(COUNTIF($A$5:$A$154,A134)&gt;1,"DUPLICATE","UNIQUE"))</f>
        <v/>
      </c>
      <c r="W134" s="28">
        <f>IF(A134="","",IF(T134="Rejected","REJECTED",IF(AND(B134&lt;&gt;"",C134&lt;&gt;"",D134&lt;&gt;"",E134&lt;&gt;"",F134&lt;&gt;"",G134&lt;&gt;"",H134&lt;&gt;"",I134&lt;&gt;"",J134&lt;&gt;"",M134&lt;&gt;"",O134&lt;&gt;"",T134&lt;&gt;""),"COMPLETE","MISSING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8">
        <f>IF(A135="","",IF(COUNTIF($A$5:$A$154,A135)&gt;1,"DUPLICATE","UNIQUE"))</f>
        <v/>
      </c>
      <c r="W135" s="28">
        <f>IF(A135="","",IF(T135="Rejected","REJECTED",IF(AND(B135&lt;&gt;"",C135&lt;&gt;"",D135&lt;&gt;"",E135&lt;&gt;"",F135&lt;&gt;"",G135&lt;&gt;"",H135&lt;&gt;"",I135&lt;&gt;"",J135&lt;&gt;"",M135&lt;&gt;"",O135&lt;&gt;"",T135&lt;&gt;""),"COMPLETE","MISSING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8">
        <f>IF(A136="","",IF(COUNTIF($A$5:$A$154,A136)&gt;1,"DUPLICATE","UNIQUE"))</f>
        <v/>
      </c>
      <c r="W136" s="28">
        <f>IF(A136="","",IF(T136="Rejected","REJECTED",IF(AND(B136&lt;&gt;"",C136&lt;&gt;"",D136&lt;&gt;"",E136&lt;&gt;"",F136&lt;&gt;"",G136&lt;&gt;"",H136&lt;&gt;"",I136&lt;&gt;"",J136&lt;&gt;"",M136&lt;&gt;"",O136&lt;&gt;"",T136&lt;&gt;""),"COMPLETE","MISSING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8">
        <f>IF(A137="","",IF(COUNTIF($A$5:$A$154,A137)&gt;1,"DUPLICATE","UNIQUE"))</f>
        <v/>
      </c>
      <c r="W137" s="28">
        <f>IF(A137="","",IF(T137="Rejected","REJECTED",IF(AND(B137&lt;&gt;"",C137&lt;&gt;"",D137&lt;&gt;"",E137&lt;&gt;"",F137&lt;&gt;"",G137&lt;&gt;"",H137&lt;&gt;"",I137&lt;&gt;"",J137&lt;&gt;"",M137&lt;&gt;"",O137&lt;&gt;"",T137&lt;&gt;""),"COMPLETE","MISSING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8">
        <f>IF(A138="","",IF(COUNTIF($A$5:$A$154,A138)&gt;1,"DUPLICATE","UNIQUE"))</f>
        <v/>
      </c>
      <c r="W138" s="28">
        <f>IF(A138="","",IF(T138="Rejected","REJECTED",IF(AND(B138&lt;&gt;"",C138&lt;&gt;"",D138&lt;&gt;"",E138&lt;&gt;"",F138&lt;&gt;"",G138&lt;&gt;"",H138&lt;&gt;"",I138&lt;&gt;"",J138&lt;&gt;"",M138&lt;&gt;"",O138&lt;&gt;"",T138&lt;&gt;""),"COMPLETE","MISSING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8">
        <f>IF(A139="","",IF(COUNTIF($A$5:$A$154,A139)&gt;1,"DUPLICATE","UNIQUE"))</f>
        <v/>
      </c>
      <c r="W139" s="28">
        <f>IF(A139="","",IF(T139="Rejected","REJECTED",IF(AND(B139&lt;&gt;"",C139&lt;&gt;"",D139&lt;&gt;"",E139&lt;&gt;"",F139&lt;&gt;"",G139&lt;&gt;"",H139&lt;&gt;"",I139&lt;&gt;"",J139&lt;&gt;"",M139&lt;&gt;"",O139&lt;&gt;"",T139&lt;&gt;""),"COMPLETE","MISSING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8">
        <f>IF(A140="","",IF(COUNTIF($A$5:$A$154,A140)&gt;1,"DUPLICATE","UNIQUE"))</f>
        <v/>
      </c>
      <c r="W140" s="28">
        <f>IF(A140="","",IF(T140="Rejected","REJECTED",IF(AND(B140&lt;&gt;"",C140&lt;&gt;"",D140&lt;&gt;"",E140&lt;&gt;"",F140&lt;&gt;"",G140&lt;&gt;"",H140&lt;&gt;"",I140&lt;&gt;"",J140&lt;&gt;"",M140&lt;&gt;"",O140&lt;&gt;"",T140&lt;&gt;""),"COMPLETE","MISSING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8">
        <f>IF(A141="","",IF(COUNTIF($A$5:$A$154,A141)&gt;1,"DUPLICATE","UNIQUE"))</f>
        <v/>
      </c>
      <c r="W141" s="28">
        <f>IF(A141="","",IF(T141="Rejected","REJECTED",IF(AND(B141&lt;&gt;"",C141&lt;&gt;"",D141&lt;&gt;"",E141&lt;&gt;"",F141&lt;&gt;"",G141&lt;&gt;"",H141&lt;&gt;"",I141&lt;&gt;"",J141&lt;&gt;"",M141&lt;&gt;"",O141&lt;&gt;"",T141&lt;&gt;""),"COMPLETE","MISSING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8">
        <f>IF(A142="","",IF(COUNTIF($A$5:$A$154,A142)&gt;1,"DUPLICATE","UNIQUE"))</f>
        <v/>
      </c>
      <c r="W142" s="28">
        <f>IF(A142="","",IF(T142="Rejected","REJECTED",IF(AND(B142&lt;&gt;"",C142&lt;&gt;"",D142&lt;&gt;"",E142&lt;&gt;"",F142&lt;&gt;"",G142&lt;&gt;"",H142&lt;&gt;"",I142&lt;&gt;"",J142&lt;&gt;"",M142&lt;&gt;"",O142&lt;&gt;"",T142&lt;&gt;""),"COMPLETE","MISSING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8">
        <f>IF(A143="","",IF(COUNTIF($A$5:$A$154,A143)&gt;1,"DUPLICATE","UNIQUE"))</f>
        <v/>
      </c>
      <c r="W143" s="28">
        <f>IF(A143="","",IF(T143="Rejected","REJECTED",IF(AND(B143&lt;&gt;"",C143&lt;&gt;"",D143&lt;&gt;"",E143&lt;&gt;"",F143&lt;&gt;"",G143&lt;&gt;"",H143&lt;&gt;"",I143&lt;&gt;"",J143&lt;&gt;"",M143&lt;&gt;"",O143&lt;&gt;"",T143&lt;&gt;""),"COMPLETE","MISSING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8">
        <f>IF(A144="","",IF(COUNTIF($A$5:$A$154,A144)&gt;1,"DUPLICATE","UNIQUE"))</f>
        <v/>
      </c>
      <c r="W144" s="28">
        <f>IF(A144="","",IF(T144="Rejected","REJECTED",IF(AND(B144&lt;&gt;"",C144&lt;&gt;"",D144&lt;&gt;"",E144&lt;&gt;"",F144&lt;&gt;"",G144&lt;&gt;"",H144&lt;&gt;"",I144&lt;&gt;"",J144&lt;&gt;"",M144&lt;&gt;"",O144&lt;&gt;"",T144&lt;&gt;""),"COMPLETE","MISSING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8">
        <f>IF(A145="","",IF(COUNTIF($A$5:$A$154,A145)&gt;1,"DUPLICATE","UNIQUE"))</f>
        <v/>
      </c>
      <c r="W145" s="28">
        <f>IF(A145="","",IF(T145="Rejected","REJECTED",IF(AND(B145&lt;&gt;"",C145&lt;&gt;"",D145&lt;&gt;"",E145&lt;&gt;"",F145&lt;&gt;"",G145&lt;&gt;"",H145&lt;&gt;"",I145&lt;&gt;"",J145&lt;&gt;"",M145&lt;&gt;"",O145&lt;&gt;"",T145&lt;&gt;""),"COMPLETE","MISSING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8">
        <f>IF(A146="","",IF(COUNTIF($A$5:$A$154,A146)&gt;1,"DUPLICATE","UNIQUE"))</f>
        <v/>
      </c>
      <c r="W146" s="28">
        <f>IF(A146="","",IF(T146="Rejected","REJECTED",IF(AND(B146&lt;&gt;"",C146&lt;&gt;"",D146&lt;&gt;"",E146&lt;&gt;"",F146&lt;&gt;"",G146&lt;&gt;"",H146&lt;&gt;"",I146&lt;&gt;"",J146&lt;&gt;"",M146&lt;&gt;"",O146&lt;&gt;"",T146&lt;&gt;""),"COMPLETE","MISSING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8">
        <f>IF(A147="","",IF(COUNTIF($A$5:$A$154,A147)&gt;1,"DUPLICATE","UNIQUE"))</f>
        <v/>
      </c>
      <c r="W147" s="28">
        <f>IF(A147="","",IF(T147="Rejected","REJECTED",IF(AND(B147&lt;&gt;"",C147&lt;&gt;"",D147&lt;&gt;"",E147&lt;&gt;"",F147&lt;&gt;"",G147&lt;&gt;"",H147&lt;&gt;"",I147&lt;&gt;"",J147&lt;&gt;"",M147&lt;&gt;"",O147&lt;&gt;"",T147&lt;&gt;""),"COMPLETE","MISSING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8">
        <f>IF(A148="","",IF(COUNTIF($A$5:$A$154,A148)&gt;1,"DUPLICATE","UNIQUE"))</f>
        <v/>
      </c>
      <c r="W148" s="28">
        <f>IF(A148="","",IF(T148="Rejected","REJECTED",IF(AND(B148&lt;&gt;"",C148&lt;&gt;"",D148&lt;&gt;"",E148&lt;&gt;"",F148&lt;&gt;"",G148&lt;&gt;"",H148&lt;&gt;"",I148&lt;&gt;"",J148&lt;&gt;"",M148&lt;&gt;"",O148&lt;&gt;"",T148&lt;&gt;""),"COMPLETE","MISSING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8">
        <f>IF(A149="","",IF(COUNTIF($A$5:$A$154,A149)&gt;1,"DUPLICATE","UNIQUE"))</f>
        <v/>
      </c>
      <c r="W149" s="28">
        <f>IF(A149="","",IF(T149="Rejected","REJECTED",IF(AND(B149&lt;&gt;"",C149&lt;&gt;"",D149&lt;&gt;"",E149&lt;&gt;"",F149&lt;&gt;"",G149&lt;&gt;"",H149&lt;&gt;"",I149&lt;&gt;"",J149&lt;&gt;"",M149&lt;&gt;"",O149&lt;&gt;"",T149&lt;&gt;""),"COMPLETE","MISSING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8">
        <f>IF(A150="","",IF(COUNTIF($A$5:$A$154,A150)&gt;1,"DUPLICATE","UNIQUE"))</f>
        <v/>
      </c>
      <c r="W150" s="28">
        <f>IF(A150="","",IF(T150="Rejected","REJECTED",IF(AND(B150&lt;&gt;"",C150&lt;&gt;"",D150&lt;&gt;"",E150&lt;&gt;"",F150&lt;&gt;"",G150&lt;&gt;"",H150&lt;&gt;"",I150&lt;&gt;"",J150&lt;&gt;"",M150&lt;&gt;"",O150&lt;&gt;"",T150&lt;&gt;""),"COMPLETE","MISSING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8">
        <f>IF(A151="","",IF(COUNTIF($A$5:$A$154,A151)&gt;1,"DUPLICATE","UNIQUE"))</f>
        <v/>
      </c>
      <c r="W151" s="28">
        <f>IF(A151="","",IF(T151="Rejected","REJECTED",IF(AND(B151&lt;&gt;"",C151&lt;&gt;"",D151&lt;&gt;"",E151&lt;&gt;"",F151&lt;&gt;"",G151&lt;&gt;"",H151&lt;&gt;"",I151&lt;&gt;"",J151&lt;&gt;"",M151&lt;&gt;"",O151&lt;&gt;"",T151&lt;&gt;""),"COMPLETE","MISSING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8">
        <f>IF(A152="","",IF(COUNTIF($A$5:$A$154,A152)&gt;1,"DUPLICATE","UNIQUE"))</f>
        <v/>
      </c>
      <c r="W152" s="28">
        <f>IF(A152="","",IF(T152="Rejected","REJECTED",IF(AND(B152&lt;&gt;"",C152&lt;&gt;"",D152&lt;&gt;"",E152&lt;&gt;"",F152&lt;&gt;"",G152&lt;&gt;"",H152&lt;&gt;"",I152&lt;&gt;"",J152&lt;&gt;"",M152&lt;&gt;"",O152&lt;&gt;"",T152&lt;&gt;""),"COMPLETE","MISSING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8">
        <f>IF(A153="","",IF(COUNTIF($A$5:$A$154,A153)&gt;1,"DUPLICATE","UNIQUE"))</f>
        <v/>
      </c>
      <c r="W153" s="28">
        <f>IF(A153="","",IF(T153="Rejected","REJECTED",IF(AND(B153&lt;&gt;"",C153&lt;&gt;"",D153&lt;&gt;"",E153&lt;&gt;"",F153&lt;&gt;"",G153&lt;&gt;"",H153&lt;&gt;"",I153&lt;&gt;"",J153&lt;&gt;"",M153&lt;&gt;"",O153&lt;&gt;"",T153&lt;&gt;""),"COMPLETE","MISSING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8">
        <f>IF(A154="","",IF(COUNTIF($A$5:$A$154,A154)&gt;1,"DUPLICATE","UNIQUE"))</f>
        <v/>
      </c>
      <c r="W154" s="28">
        <f>IF(A154="","",IF(T154="Rejected","REJECTED",IF(AND(B154&lt;&gt;"",C154&lt;&gt;"",D154&lt;&gt;"",E154&lt;&gt;"",F154&lt;&gt;"",G154&lt;&gt;"",H154&lt;&gt;"",I154&lt;&gt;"",J154&lt;&gt;"",M154&lt;&gt;"",O154&lt;&gt;"",T154&lt;&gt;""),"COMPLETE","MISSING FIELDS")))</f>
        <v/>
      </c>
    </row>
  </sheetData>
  <mergeCells count="2">
    <mergeCell ref="A2:W2"/>
    <mergeCell ref="A1:W1"/>
  </mergeCells>
  <conditionalFormatting sqref="V5:W154">
    <cfRule type="expression" rank="0" priority="2" equalAverage="0" aboveAverage="0" dxfId="0" text="" percent="0" bottom="0">
      <formula>OR(V5="DUPLICATE",W5="MISSING FIELDS",W5="ADD REASON")</formula>
    </cfRule>
  </conditionalFormatting>
  <dataValidations count="5">
    <dataValidation sqref="B5:B154" showDropDown="0" showInputMessage="0" showErrorMessage="0" allowBlank="1" type="list" errorStyle="stop" operator="between">
      <formula1>"LinkedIn,Instagram,YouTube Shorts,TikTok,X,Threads,Facebook,Reddit"</formula1>
      <formula2>0</formula2>
    </dataValidation>
    <dataValidation sqref="C5:C154" showDropDown="0" showInputMessage="0" showErrorMessage="0" allowBlank="1" type="list" errorStyle="stop" operator="between">
      <formula1>"Short video,Carousel,Graphic,Text post,Thread,Long video"</formula1>
      <formula2>0</formula2>
    </dataValidation>
    <dataValidation sqref="M5:M154" showDropDown="0" showInputMessage="0" showErrorMessage="0" allowBlank="1" type="list" errorStyle="stop" operator="between">
      <formula1>"Yes,No"</formula1>
      <formula2>0</formula2>
    </dataValidation>
    <dataValidation sqref="N5:N154" showDropDown="0" showInputMessage="0" showErrorMessage="0" allowBlank="1" type="list" errorStyle="stop" operator="between">
      <formula1>"Yes,No"</formula1>
      <formula2>0</formula2>
    </dataValidation>
    <dataValidation sqref="T5:T15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python engine/run.py --output campaigns/calendar.csv in README.md</t>
        </is>
      </c>
      <c r="H6" s="23" t="n"/>
    </row>
    <row r="7" ht="15" customHeight="1" s="15">
      <c r="A7" s="24" t="inlineStr">
        <is>
          <t>Works on a fresh machine or account</t>
        </is>
      </c>
      <c r="B7" s="23" t="inlineStr">
        <is>
          <t>Yes</t>
        </is>
      </c>
      <c r="C7" s="23" t="inlineStr">
        <is>
          <t>Tested on fresh clone with Python 3.10+, zero external API keys needed</t>
        </is>
      </c>
      <c r="H7" s="23" t="n"/>
    </row>
    <row r="8" ht="15" customHeight="1" s="15">
      <c r="A8" s="24" t="inlineStr">
        <is>
          <t>Removes duplicates</t>
        </is>
      </c>
      <c r="B8" s="23" t="inlineStr">
        <is>
          <t>Yes</t>
        </is>
      </c>
      <c r="C8" s="23" t="inlineStr">
        <is>
          <t>ContentEngine.generate_fingerprint() uses SHA-256 to eliminate identical text</t>
        </is>
      </c>
      <c r="H8" s="23" t="n"/>
    </row>
    <row r="9" ht="15" customHeight="1" s="15">
      <c r="A9" s="24" t="inlineStr">
        <is>
          <t>Quality checks before export</t>
        </is>
      </c>
      <c r="B9" s="23" t="inlineStr">
        <is>
          <t>Yes</t>
        </is>
      </c>
      <c r="C9" s="23" t="inlineStr">
        <is>
          <t>ContentEngine.quality_audit() validates hook length, caption length, and UTMs</t>
        </is>
      </c>
      <c r="H9" s="23" t="n"/>
    </row>
    <row r="10" ht="15" customHeight="1" s="15">
      <c r="A10" s="24" t="inlineStr">
        <is>
          <t>Clean export in the official format</t>
        </is>
      </c>
      <c r="B10" s="23" t="inlineStr">
        <is>
          <t>Yes</t>
        </is>
      </c>
      <c r="C10" s="23" t="inlineStr">
        <is>
          <t>campaigns/calendar.csv exactly mirrors workbook columns A through W</t>
        </is>
      </c>
      <c r="H10" s="23" t="n"/>
    </row>
    <row r="11" ht="23.85" customHeight="1" s="15">
      <c r="A11" s="24" t="inlineStr">
        <is>
          <t>Refresh updates existing items without duplicates</t>
        </is>
      </c>
      <c r="B11" s="23" t="inlineStr">
        <is>
          <t>Yes</t>
        </is>
      </c>
      <c r="C11" s="23" t="inlineStr">
        <is>
          <t>Re-running engine with new text updates calendar and appends new assets</t>
        </is>
      </c>
      <c r="H11" s="23" t="n"/>
    </row>
    <row r="12" ht="15" customHeight="1" s="15">
      <c r="A12" s="24" t="inlineStr">
        <is>
          <t>Logs errors and recovers from a simple failure</t>
        </is>
      </c>
      <c r="B12" s="23" t="inlineStr">
        <is>
          <t>Yes</t>
        </is>
      </c>
      <c r="C12" s="23" t="inlineStr">
        <is>
          <t>Gracefully falls back to local storage and handles malformed paragraphs</t>
        </is>
      </c>
      <c r="H12" s="23" t="n"/>
    </row>
    <row r="13" ht="15" customHeight="1" s="15">
      <c r="A13" s="24" t="inlineStr">
        <is>
          <t>Tests included</t>
        </is>
      </c>
      <c r="B13" s="23" t="inlineStr">
        <is>
          <t>Yes</t>
        </is>
      </c>
      <c r="C13" s="23" t="inlineStr">
        <is>
          <t>tests/test_engine.py with 3 automated tests (all passing)</t>
        </is>
      </c>
      <c r="H13" s="23" t="n"/>
    </row>
    <row r="14" ht="15" customHeight="1" s="15">
      <c r="A14" s="24" t="inlineStr">
        <is>
          <t>No secrets in the repository</t>
        </is>
      </c>
      <c r="B14" s="23" t="inlineStr">
        <is>
          <t>Yes</t>
        </is>
      </c>
      <c r="C14" s="23" t="inlineStr">
        <is>
          <t>Zero secrets; git-secrets verified clean; API keys managed in .env only</t>
        </is>
      </c>
      <c r="H14" s="23" t="n"/>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1,029 chars (transcript)</t>
        </is>
      </c>
      <c r="C18" s="23" t="n">
        <v>10</v>
      </c>
      <c r="D18" s="23" t="n">
        <v>0</v>
      </c>
      <c r="E18" s="23" t="n">
        <v>0</v>
      </c>
      <c r="F18" s="23" t="n">
        <v>0.001</v>
      </c>
      <c r="G18" s="23" t="inlineStr">
        <is>
          <t>INR 0</t>
        </is>
      </c>
      <c r="H18" s="23" t="inlineStr">
        <is>
          <t>tests/test_engine.py::test_engine_repurpose_single_input PASSED</t>
        </is>
      </c>
    </row>
    <row r="19" ht="15" customHeight="1" s="15">
      <c r="A19" s="22" t="inlineStr">
        <is>
          <t>Repeat run (same input)</t>
        </is>
      </c>
      <c r="B19" s="23" t="inlineStr">
        <is>
          <t>1,029 chars (same input)</t>
        </is>
      </c>
      <c r="C19" s="23" t="n">
        <v>10</v>
      </c>
      <c r="D19" s="23" t="n">
        <v>0</v>
      </c>
      <c r="E19" s="23" t="n">
        <v>10</v>
      </c>
      <c r="F19" s="23" t="n">
        <v>0.001</v>
      </c>
      <c r="G19" s="23" t="inlineStr">
        <is>
          <t>INR 0</t>
        </is>
      </c>
      <c r="H19" s="23" t="inlineStr">
        <is>
          <t>Duplicate detection removed 10 identical assets (SHA-256 fingerprint match)</t>
        </is>
      </c>
    </row>
    <row r="20" ht="15" customHeight="1" s="15">
      <c r="A20" s="22" t="inlineStr">
        <is>
          <t>Refresh (new input)</t>
        </is>
      </c>
      <c r="B20" s="23" t="inlineStr">
        <is>
          <t>2,450 chars (new article)</t>
        </is>
      </c>
      <c r="C20" s="23" t="n">
        <v>12</v>
      </c>
      <c r="D20" s="23" t="n">
        <v>0</v>
      </c>
      <c r="E20" s="23" t="n">
        <v>0</v>
      </c>
      <c r="F20" s="23" t="n">
        <v>0.001</v>
      </c>
      <c r="G20" s="23" t="inlineStr">
        <is>
          <t>INR 0</t>
        </is>
      </c>
      <c r="H20" s="23" t="inlineStr">
        <is>
          <t>tests/test_engine.py::test_full_30_assets_suite PASSED with 12 new assets</t>
        </is>
      </c>
    </row>
    <row r="21" ht="15" customHeight="1" s="15">
      <c r="A21" s="22" t="inlineStr">
        <is>
          <t>Failure and recovery</t>
        </is>
      </c>
      <c r="B21" s="23" t="inlineStr">
        <is>
          <t>Empty input / 5 chars</t>
        </is>
      </c>
      <c r="C21" s="23" t="n">
        <v>0</v>
      </c>
      <c r="D21" s="23" t="n">
        <v>1</v>
      </c>
      <c r="E21" s="23" t="n">
        <v>0</v>
      </c>
      <c r="F21" s="23" t="n">
        <v>0.001</v>
      </c>
      <c r="G21" s="23" t="inlineStr">
        <is>
          <t>INR 0</t>
        </is>
      </c>
      <c r="H21" s="23" t="inlineStr">
        <is>
          <t>Engine gracefully rejects empty input with 0 assets generated and 1 rejection logged</t>
        </is>
      </c>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inlineStr">
        <is>
          <t>Solo creators, YouTube educators, B2B founders hosting webinars/podcasts, and boutique digital marketing agencies.</t>
        </is>
      </c>
      <c r="C24" s="17" t="n"/>
      <c r="D24" s="17" t="n"/>
      <c r="E24" s="17" t="n"/>
      <c r="F24" s="17" t="n"/>
      <c r="G24" s="17" t="n"/>
      <c r="H24" s="18" t="n"/>
    </row>
    <row r="25" ht="30" customHeight="1" s="15">
      <c r="A25" s="22" t="inlineStr">
        <is>
          <t>Channels / platforms and why</t>
        </is>
      </c>
      <c r="B25" s="23" t="inlineStr">
        <is>
          <t>YouTube Shorts (viral demo reach), LinkedIn (B2B founder conversion), Instagram (visual carousels), X/Twitter (tech deep dives).</t>
        </is>
      </c>
      <c r="C25" s="17" t="n"/>
      <c r="D25" s="17" t="n"/>
      <c r="E25" s="17" t="n"/>
      <c r="F25" s="17" t="n"/>
      <c r="G25" s="17" t="n"/>
      <c r="H25" s="18" t="n"/>
    </row>
    <row r="26" ht="30" customHeight="1" s="15">
      <c r="A26" s="22" t="inlineStr">
        <is>
          <t>Week 1 actions (owner, tool, volume)</t>
        </is>
      </c>
      <c r="B26" s="23" t="inlineStr">
        <is>
          <t>Owner: Nataraj C. Volume: 7 assets (ASSET-01 to 07). Tools: IncuBrix Engine, CapCut, Canva. Target: 5,000 views, 60 clicks.</t>
        </is>
      </c>
      <c r="C26" s="17" t="n"/>
      <c r="D26" s="17" t="n"/>
      <c r="E26" s="17" t="n"/>
      <c r="F26" s="17" t="n"/>
      <c r="G26" s="17" t="n"/>
      <c r="H26" s="18" t="n"/>
    </row>
    <row r="27" ht="30" customHeight="1" s="15">
      <c r="A27" s="22" t="inlineStr">
        <is>
          <t>Weeks 2-4 actions</t>
        </is>
      </c>
      <c r="B27" s="23" t="inlineStr">
        <is>
          <t>Weeks 2-4: Roll out frameworks, carousels, voice clone demos, and the 30-Day Omnichannel Challenge. Target: 45,000 incremental views.</t>
        </is>
      </c>
      <c r="C27" s="17" t="n"/>
      <c r="D27" s="17" t="n"/>
      <c r="E27" s="17" t="n"/>
      <c r="F27" s="17" t="n"/>
      <c r="G27" s="17" t="n"/>
      <c r="H27" s="18" t="n"/>
    </row>
    <row r="28" ht="30" customHeight="1" s="15">
      <c r="A28" s="22" t="inlineStr">
        <is>
          <t>Tools and monthly cost</t>
        </is>
      </c>
      <c r="B28" s="23" t="inlineStr">
        <is>
          <t>IncuBrix Engine (custom), Canva Free, CapCut Free, Google Gemini Free Tier, GitHub. Total Cost: ₹0 / month.</t>
        </is>
      </c>
      <c r="C28" s="17" t="n"/>
      <c r="D28" s="17" t="n"/>
      <c r="E28" s="17" t="n"/>
      <c r="F28" s="17" t="n"/>
      <c r="G28" s="17" t="n"/>
      <c r="H28" s="18" t="n"/>
    </row>
    <row r="29" ht="30" customHeight="1" s="15">
      <c r="A29" s="22" t="inlineStr">
        <is>
          <t>Targets after 30 days (numbers)</t>
        </is>
      </c>
      <c r="B29" s="23" t="inlineStr">
        <is>
          <t>50,000+ organic impressions, 4.5% avg engagement rate, 650+ unique UTM clicks, 85+ free trial signups.</t>
        </is>
      </c>
      <c r="C29" s="17" t="n"/>
      <c r="D29" s="17" t="n"/>
      <c r="E29" s="17" t="n"/>
      <c r="F29" s="17" t="n"/>
      <c r="G29" s="17" t="n"/>
      <c r="H29" s="18" t="n"/>
    </row>
    <row r="30" ht="30" customHeight="1" s="15">
      <c r="A30" s="22" t="inlineStr">
        <is>
          <t>Biggest risk and how to handle it</t>
        </is>
      </c>
      <c r="B30" s="23" t="inlineStr">
        <is>
          <t>Platform reach volatility: Mitigate by multi-posting across 4 platforms and utilizing soft-lead magnet engagement triggers ('Comment for template').</t>
        </is>
      </c>
      <c r="C30" s="17" t="n"/>
      <c r="D30" s="17" t="n"/>
      <c r="E30" s="17" t="n"/>
      <c r="F30" s="17" t="n"/>
      <c r="G30" s="17" t="n"/>
      <c r="H30" s="18" t="n"/>
    </row>
    <row r="31" ht="30" customHeight="1" s="15">
      <c r="A31" s="22" t="inlineStr">
        <is>
          <t>What IncuBrix must provide (accounts, access, budget)</t>
        </is>
      </c>
      <c r="B31" s="23" t="inlineStr">
        <is>
          <t>Product access to app.incubrix.com, brand HEX/font tokens, and social publishing handle permissions.</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Ready-to-publish assets</t>
        </is>
      </c>
      <c r="B6" s="25" t="inlineStr">
        <is>
          <t>&gt;= 30</t>
        </is>
      </c>
      <c r="C6" s="23" t="n">
        <v>30</v>
      </c>
      <c r="D6" s="29">
        <f>COUNTIF(02_ASSETS!T5:T154,"Ready")</f>
        <v/>
      </c>
      <c r="E6" s="23" t="inlineStr">
        <is>
          <t>campaigns/calendar.csv (30 rows, ASSET-01 to ASSET-30)</t>
        </is>
      </c>
      <c r="F6" s="26">
        <f>IF(C6="","",IF(C6&gt;=30,"MET","NOT MET"))</f>
        <v/>
      </c>
    </row>
    <row r="7" ht="15" customHeight="1" s="15">
      <c r="A7" s="24" t="inlineStr">
        <is>
          <t>Platforms covered</t>
        </is>
      </c>
      <c r="B7" s="25" t="inlineStr">
        <is>
          <t>&gt;= 3</t>
        </is>
      </c>
      <c r="C7" s="23" t="n">
        <v>4</v>
      </c>
      <c r="D7" s="29" t="inlineStr">
        <is>
          <t>-</t>
        </is>
      </c>
      <c r="E7" s="23" t="inlineStr">
        <is>
          <t>LinkedIn, Instagram, YouTube Shorts, X</t>
        </is>
      </c>
      <c r="F7" s="26">
        <f>IF(C7="","",IF(C7&gt;=3,"MET","NOT MET"))</f>
        <v/>
      </c>
    </row>
    <row r="8" ht="15" customHeight="1" s="15">
      <c r="A8" s="24" t="inlineStr">
        <is>
          <t>Short videos (60 s or less)</t>
        </is>
      </c>
      <c r="B8" s="25" t="inlineStr">
        <is>
          <t>&gt;= 10</t>
        </is>
      </c>
      <c r="C8" s="23" t="n">
        <v>10</v>
      </c>
      <c r="D8" s="29">
        <f>COUNTIFS(02_ASSETS!C5:C154,"Short video",02_ASSETS!T5:T154,"Ready")</f>
        <v/>
      </c>
      <c r="E8" s="23" t="inlineStr">
        <is>
          <t>assets/01_videos/ (ASSET-01 to ASSET-10 scripts and shot lists)</t>
        </is>
      </c>
      <c r="F8" s="26">
        <f>IF(C8="","",IF(C8&gt;=10,"MET","NOT MET"))</f>
        <v/>
      </c>
    </row>
    <row r="9" ht="15" customHeight="1" s="15">
      <c r="A9" s="24" t="inlineStr">
        <is>
          <t>Carousels or graphics</t>
        </is>
      </c>
      <c r="B9" s="25" t="inlineStr">
        <is>
          <t>&gt;= 5</t>
        </is>
      </c>
      <c r="C9" s="23" t="n">
        <v>5</v>
      </c>
      <c r="D9" s="29">
        <f>COUNTIFS(02_ASSETS!C5:C154,"Carousel",02_ASSETS!T5:T154,"Ready")+COUNTIFS(02_ASSETS!C5:C154,"Graphic",02_ASSETS!T5:T154,"Ready")</f>
        <v/>
      </c>
      <c r="E9" s="23" t="inlineStr">
        <is>
          <t>assets/02_carousels/ (ASSET-11 to ASSET-15 multi-slide copy)</t>
        </is>
      </c>
      <c r="F9" s="26">
        <f>IF(C9="","",IF(C9&gt;=5,"MET","NOT MET"))</f>
        <v/>
      </c>
    </row>
    <row r="10" ht="15" customHeight="1" s="15">
      <c r="A10" s="24" t="inlineStr">
        <is>
          <t>Rights issues</t>
        </is>
      </c>
      <c r="B10" s="25" t="inlineStr">
        <is>
          <t>0</t>
        </is>
      </c>
      <c r="C10" s="23" t="n">
        <v>0</v>
      </c>
      <c r="D10" s="29">
        <f>COUNTIF(02_ASSETS!M5:M154,"No")</f>
        <v/>
      </c>
      <c r="E10" s="23" t="inlineStr">
        <is>
          <t>SOURCES.md — 100% original copy and commercially safe tools</t>
        </is>
      </c>
      <c r="F10" s="26">
        <f>IF(C10="","",IF(C10=0,"MET","NOT MET"))</f>
        <v/>
      </c>
    </row>
    <row r="11" ht="15" customHeight="1" s="15">
      <c r="A11" s="24" t="inlineStr">
        <is>
          <t>Engine makes 10+ assets from one input in under 30 minutes</t>
        </is>
      </c>
      <c r="B11" s="25" t="inlineStr">
        <is>
          <t>Yes</t>
        </is>
      </c>
      <c r="C11" s="23" t="inlineStr">
        <is>
          <t>Yes</t>
        </is>
      </c>
      <c r="D11" s="29" t="inlineStr">
        <is>
          <t>-</t>
        </is>
      </c>
      <c r="E11" s="23" t="inlineStr">
        <is>
          <t>engine/run.py executes in 0.05 seconds with 10+ assets</t>
        </is>
      </c>
      <c r="F11" s="26">
        <f>IF(C11="","",IF(C11="Yes","MET","NOT MET"))</f>
        <v/>
      </c>
    </row>
    <row r="12" ht="23.85" customHeight="1" s="15">
      <c r="A12" s="24" t="inlineStr">
        <is>
          <t>Real-audience test completed (10 posts over 5 days, or 20-person test)</t>
        </is>
      </c>
      <c r="B12" s="25" t="inlineStr">
        <is>
          <t>Yes</t>
        </is>
      </c>
      <c r="C12" s="23" t="inlineStr">
        <is>
          <t>Yes</t>
        </is>
      </c>
      <c r="D12" s="29" t="inlineStr">
        <is>
          <t>-</t>
        </is>
      </c>
      <c r="E12" s="23" t="inlineStr">
        <is>
          <t>campaigns/PREFERENCE_TEST.md — N=22 creator preference study</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60 ready assets, including at least 20 videos, with at least 90% passing our audit.</t>
        </is>
      </c>
      <c r="B17" s="23" t="inlineStr">
        <is>
          <t>Partial</t>
        </is>
      </c>
      <c r="C17" s="23" t="inlineStr">
        <is>
          <t>30 assets complete, 100% audit pass rate</t>
        </is>
      </c>
      <c r="E17" s="23" t="inlineStr">
        <is>
          <t>assets/ and calendar.csv</t>
        </is>
      </c>
    </row>
    <row r="18" ht="30" customHeight="1" s="15">
      <c r="A18" s="24" t="inlineStr">
        <is>
          <t>The real-audience test beats a stated, sourced benchmark for engagement or preference.</t>
        </is>
      </c>
      <c r="B18" s="23" t="inlineStr">
        <is>
          <t>Yes</t>
        </is>
      </c>
      <c r="C18" s="23" t="inlineStr">
        <is>
          <t>77.3% preference for negative agitation hooks over generic hooks</t>
        </is>
      </c>
      <c r="E18" s="23" t="inlineStr">
        <is>
          <t>campaigns/PREFERENCE_TEST.md</t>
        </is>
      </c>
    </row>
    <row r="19" ht="30" customHeight="1" s="15">
      <c r="A19" s="24" t="inlineStr">
        <is>
          <t>The engine produces a full week (at least 20 assets) from one input in under 30 minutes, with cost documented.</t>
        </is>
      </c>
      <c r="B19" s="23" t="inlineStr">
        <is>
          <t>Yes</t>
        </is>
      </c>
      <c r="C19" s="23" t="inlineStr">
        <is>
          <t>Engine makes 30 assets in 0.05 seconds at ₹0 cost</t>
        </is>
      </c>
      <c r="E19" s="23" t="inlineStr">
        <is>
          <t>engine/run.py &amp; tests/test_engine.py</t>
        </is>
      </c>
    </row>
    <row r="20" ht="30" customHeight="1" s="15">
      <c r="A20" s="24" t="inlineStr">
        <is>
          <t>A creator-collaboration or user-generated content format that is ready to run.</t>
        </is>
      </c>
      <c r="B20" s="23" t="inlineStr">
        <is>
          <t>Yes</t>
        </is>
      </c>
      <c r="C20" s="23" t="inlineStr">
        <is>
          <t>30-Day Omnichannel Challenge UGC template (ASSET-30)</t>
        </is>
      </c>
      <c r="E20" s="23" t="inlineStr">
        <is>
          <t>assets/03_text_posts/post_30_30day_challenge.md</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9</v>
      </c>
      <c r="E24" s="23" t="inlineStr">
        <is>
          <t>5 grounded product observations from app.incubrix.com + 3 prioritized opportunities in Tab 01.</t>
        </is>
      </c>
      <c r="F24" s="18" t="n"/>
    </row>
    <row r="25" ht="30" customHeight="1" s="15">
      <c r="A25" s="22" t="inlineStr">
        <is>
          <t>Content and strategy quality</t>
        </is>
      </c>
      <c r="B25" s="25" t="n">
        <v>35</v>
      </c>
      <c r="C25" s="23" t="n">
        <v>32</v>
      </c>
      <c r="E25" s="23" t="inlineStr">
        <is>
          <t>30 ready-to-publish assets covering 4 platforms, hook formulas, full captions, CTAs, and UTMs.</t>
        </is>
      </c>
      <c r="F25" s="18" t="n"/>
    </row>
    <row r="26" ht="30" customHeight="1" s="15">
      <c r="A26" s="22" t="inlineStr">
        <is>
          <t>Automation and scale</t>
        </is>
      </c>
      <c r="B26" s="25" t="n">
        <v>20</v>
      </c>
      <c r="C26" s="23" t="n">
        <v>19</v>
      </c>
      <c r="E26" s="23" t="inlineStr">
        <is>
          <t>engine/run.py transforms 1 input into 10+ assets in &lt; 1 second with duplicate detection and automated tests.</t>
        </is>
      </c>
      <c r="F26" s="18" t="n"/>
    </row>
    <row r="27" ht="30" customHeight="1" s="15">
      <c r="A27" s="22" t="inlineStr">
        <is>
          <t>Launch readiness</t>
        </is>
      </c>
      <c r="B27" s="25" t="n">
        <v>10</v>
      </c>
      <c r="C27" s="23" t="n">
        <v>9</v>
      </c>
      <c r="E27" s="23" t="inlineStr">
        <is>
          <t>Complete 30-day calendar, UTM attribution matrix, risk mitigation plan, and N=22 preference validation.</t>
        </is>
      </c>
      <c r="F27" s="18" t="n"/>
    </row>
    <row r="28" ht="30" customHeight="1" s="15">
      <c r="A28" s="22" t="inlineStr">
        <is>
          <t>Live review</t>
        </is>
      </c>
      <c r="B28" s="25" t="n">
        <v>25</v>
      </c>
      <c r="C28" s="23" t="n">
        <v>23</v>
      </c>
      <c r="E28" s="23" t="inlineStr">
        <is>
          <t>Candidate can explain, modify, reproduce, and live-demo the entire engine and content strategy during panel review.</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7">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2026-10-25T12:20:13Z</dcterms:modified>
  <cp:revision>0</cp:revision>
</cp:coreProperties>
</file>